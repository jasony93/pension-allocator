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케이스별_배분" sheetId="1" state="visible" r:id="rId3"/>
    <sheet name="2.판단근거_상세" sheetId="2" state="visible" r:id="rId4"/>
    <sheet name="3.제도_기준값" sheetId="3" state="visible" r:id="rId5"/>
    <sheet name="4.검증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<sst xmlns="http://schemas.openxmlformats.org/spreadsheetml/2006/main" count="357" uniqueCount="262">
  <si>
    <r>
      <rPr>
        <b val="true"/>
        <sz val="14"/>
        <color rgb="FF1F3864"/>
        <rFont val="Noto Sans CJK SC"/>
        <family val="2"/>
      </rPr>
      <t xml:space="preserve">케이스별 절세계좌 배분표 </t>
    </r>
    <r>
      <rPr>
        <b val="true"/>
        <sz val="14"/>
        <color rgb="FF1F3864"/>
        <rFont val="맑은 고딕"/>
        <family val="0"/>
        <charset val="1"/>
      </rPr>
      <t xml:space="preserve">(</t>
    </r>
    <r>
      <rPr>
        <b val="true"/>
        <sz val="14"/>
        <color rgb="FF1F3864"/>
        <rFont val="Noto Sans CJK SC"/>
        <family val="2"/>
      </rPr>
      <t xml:space="preserve">단위</t>
    </r>
    <r>
      <rPr>
        <b val="true"/>
        <sz val="14"/>
        <color rgb="FF1F3864"/>
        <rFont val="맑은 고딕"/>
        <family val="0"/>
        <charset val="1"/>
      </rPr>
      <t xml:space="preserve">: </t>
    </r>
    <r>
      <rPr>
        <b val="true"/>
        <sz val="14"/>
        <color rgb="FF1F3864"/>
        <rFont val="Noto Sans CJK SC"/>
        <family val="2"/>
      </rPr>
      <t xml:space="preserve">만원</t>
    </r>
    <r>
      <rPr>
        <b val="true"/>
        <sz val="14"/>
        <color rgb="FF1F3864"/>
        <rFont val="맑은 고딕"/>
        <family val="0"/>
        <charset val="1"/>
      </rPr>
      <t xml:space="preserve">/</t>
    </r>
    <r>
      <rPr>
        <b val="true"/>
        <sz val="14"/>
        <color rgb="FF1F3864"/>
        <rFont val="Noto Sans CJK SC"/>
        <family val="2"/>
      </rPr>
      <t xml:space="preserve">년</t>
    </r>
    <r>
      <rPr>
        <b val="true"/>
        <sz val="14"/>
        <color rgb="FF1F3864"/>
        <rFont val="맑은 고딕"/>
        <family val="0"/>
        <charset val="1"/>
      </rPr>
      <t xml:space="preserve">)</t>
    </r>
  </si>
  <si>
    <r>
      <rPr>
        <i val="true"/>
        <sz val="9"/>
        <color rgb="FF808080"/>
        <rFont val="Noto Sans CJK SC"/>
        <family val="2"/>
      </rPr>
      <t xml:space="preserve">기준일</t>
    </r>
    <r>
      <rPr>
        <i val="true"/>
        <sz val="9"/>
        <color rgb="FF808080"/>
        <rFont val="맑은 고딕"/>
        <family val="0"/>
        <charset val="1"/>
      </rPr>
      <t xml:space="preserve">: 2026-08-10 | </t>
    </r>
    <r>
      <rPr>
        <i val="true"/>
        <sz val="9"/>
        <color rgb="FF808080"/>
        <rFont val="Noto Sans CJK SC"/>
        <family val="2"/>
      </rPr>
      <t xml:space="preserve">파란 글씨</t>
    </r>
    <r>
      <rPr>
        <i val="true"/>
        <sz val="9"/>
        <color rgb="FF808080"/>
        <rFont val="맑은 고딕"/>
        <family val="0"/>
        <charset val="1"/>
      </rPr>
      <t xml:space="preserve">=</t>
    </r>
    <r>
      <rPr>
        <i val="true"/>
        <sz val="9"/>
        <color rgb="FF808080"/>
        <rFont val="Noto Sans CJK SC"/>
        <family val="2"/>
      </rPr>
      <t xml:space="preserve">입력값</t>
    </r>
    <r>
      <rPr>
        <i val="true"/>
        <sz val="9"/>
        <color rgb="FF808080"/>
        <rFont val="맑은 고딕"/>
        <family val="0"/>
        <charset val="1"/>
      </rPr>
      <t xml:space="preserve">, </t>
    </r>
    <r>
      <rPr>
        <i val="true"/>
        <sz val="9"/>
        <color rgb="FF808080"/>
        <rFont val="Noto Sans CJK SC"/>
        <family val="2"/>
      </rPr>
      <t xml:space="preserve">검정 글씨</t>
    </r>
    <r>
      <rPr>
        <i val="true"/>
        <sz val="9"/>
        <color rgb="FF808080"/>
        <rFont val="맑은 고딕"/>
        <family val="0"/>
        <charset val="1"/>
      </rPr>
      <t xml:space="preserve">=</t>
    </r>
    <r>
      <rPr>
        <i val="true"/>
        <sz val="9"/>
        <color rgb="FF808080"/>
        <rFont val="Noto Sans CJK SC"/>
        <family val="2"/>
      </rPr>
      <t xml:space="preserve">수식 </t>
    </r>
    <r>
      <rPr>
        <i val="true"/>
        <sz val="9"/>
        <color rgb="FF808080"/>
        <rFont val="맑은 고딕"/>
        <family val="0"/>
        <charset val="1"/>
      </rPr>
      <t xml:space="preserve">| </t>
    </r>
    <r>
      <rPr>
        <i val="true"/>
        <sz val="9"/>
        <color rgb="FF808080"/>
        <rFont val="Noto Sans CJK SC"/>
        <family val="2"/>
      </rPr>
      <t xml:space="preserve">결정세액은 </t>
    </r>
    <r>
      <rPr>
        <i val="true"/>
        <sz val="9"/>
        <color rgb="FF808080"/>
        <rFont val="맑은 고딕"/>
        <family val="0"/>
        <charset val="1"/>
      </rPr>
      <t xml:space="preserve">1</t>
    </r>
    <r>
      <rPr>
        <i val="true"/>
        <sz val="9"/>
        <color rgb="FF808080"/>
        <rFont val="Noto Sans CJK SC"/>
        <family val="2"/>
      </rPr>
      <t xml:space="preserve">인가구</t>
    </r>
    <r>
      <rPr>
        <i val="true"/>
        <sz val="9"/>
        <color rgb="FF808080"/>
        <rFont val="맑은 고딕"/>
        <family val="0"/>
        <charset val="1"/>
      </rPr>
      <t xml:space="preserve">·</t>
    </r>
    <r>
      <rPr>
        <i val="true"/>
        <sz val="9"/>
        <color rgb="FF808080"/>
        <rFont val="Noto Sans CJK SC"/>
        <family val="2"/>
      </rPr>
      <t xml:space="preserve">표준공제 가정 추정치</t>
    </r>
  </si>
  <si>
    <t xml:space="preserve">번호</t>
  </si>
  <si>
    <t xml:space="preserve">케이스명</t>
  </si>
  <si>
    <t xml:space="preserve">나이</t>
  </si>
  <si>
    <t xml:space="preserve">소득
유형</t>
  </si>
  <si>
    <r>
      <rPr>
        <b val="true"/>
        <sz val="10"/>
        <color rgb="FFFFFFFF"/>
        <rFont val="Noto Sans CJK SC"/>
        <family val="2"/>
      </rPr>
      <t xml:space="preserve">소득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만원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</si>
  <si>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연간
여력</t>
  </si>
  <si>
    <t xml:space="preserve">자금
사용계획</t>
  </si>
  <si>
    <t xml:space="preserve">공제율</t>
  </si>
  <si>
    <t xml:space="preserve">연금저축</t>
  </si>
  <si>
    <t xml:space="preserve">IRP</t>
  </si>
  <si>
    <t xml:space="preserve">ISA</t>
  </si>
  <si>
    <t xml:space="preserve">기타
계좌</t>
  </si>
  <si>
    <t xml:space="preserve">기타 계좌 종류</t>
  </si>
  <si>
    <t xml:space="preserve">배분
합계</t>
  </si>
  <si>
    <t xml:space="preserve">세액공제
대상액</t>
  </si>
  <si>
    <t xml:space="preserve">예상
환급액</t>
  </si>
  <si>
    <r>
      <rPr>
        <b val="true"/>
        <sz val="10"/>
        <color rgb="FFFFFFFF"/>
        <rFont val="Noto Sans CJK SC"/>
        <family val="2"/>
      </rPr>
      <t xml:space="preserve">결정세액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추정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</si>
  <si>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공제
제약</t>
  </si>
  <si>
    <t xml:space="preserve">핵심 판단근거</t>
  </si>
  <si>
    <t xml:space="preserve">사회초년생 표준형</t>
  </si>
  <si>
    <t xml:space="preserve">근로</t>
  </si>
  <si>
    <t xml:space="preserve">없음</t>
  </si>
  <si>
    <t xml:space="preserve">-</t>
  </si>
  <si>
    <r>
      <rPr>
        <sz val="10"/>
        <color rgb="FF000000"/>
        <rFont val="맑은 고딕"/>
        <family val="0"/>
        <charset val="1"/>
      </rPr>
      <t xml:space="preserve">16.5% </t>
    </r>
    <r>
      <rPr>
        <sz val="10"/>
        <color rgb="FF000000"/>
        <rFont val="Noto Sans CJK SC"/>
        <family val="2"/>
      </rPr>
      <t xml:space="preserve">구간 </t>
    </r>
    <r>
      <rPr>
        <sz val="10"/>
        <color rgb="FF000000"/>
        <rFont val="맑은 고딕"/>
        <family val="0"/>
        <charset val="1"/>
      </rPr>
      <t xml:space="preserve">+ 55</t>
    </r>
    <r>
      <rPr>
        <sz val="10"/>
        <color rgb="FF000000"/>
        <rFont val="Noto Sans CJK SC"/>
        <family val="2"/>
      </rPr>
      <t xml:space="preserve">세까지 </t>
    </r>
    <r>
      <rPr>
        <sz val="10"/>
        <color rgb="FF000000"/>
        <rFont val="맑은 고딕"/>
        <family val="0"/>
        <charset val="1"/>
      </rPr>
      <t xml:space="preserve">25</t>
    </r>
    <r>
      <rPr>
        <sz val="10"/>
        <color rgb="FF000000"/>
        <rFont val="Noto Sans CJK SC"/>
        <family val="2"/>
      </rPr>
      <t xml:space="preserve">년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락업비용 실질 </t>
    </r>
    <r>
      <rPr>
        <sz val="10"/>
        <color rgb="FF000000"/>
        <rFont val="맑은 고딕"/>
        <family val="0"/>
        <charset val="1"/>
      </rPr>
      <t xml:space="preserve">0. 900</t>
    </r>
    <r>
      <rPr>
        <sz val="10"/>
        <color rgb="FF000000"/>
        <rFont val="Noto Sans CJK SC"/>
        <family val="2"/>
      </rPr>
      <t xml:space="preserve">만 풀 공제가 교과서적 최적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</si>
  <si>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FF"/>
        <rFont val="Noto Sans CJK SC"/>
        <family val="2"/>
      </rPr>
      <t xml:space="preserve">초단기 목돈 </t>
    </r>
    <r>
      <rPr>
        <sz val="10"/>
        <color rgb="FF0000FF"/>
        <rFont val="맑은 고딕"/>
        <family val="0"/>
        <charset val="1"/>
      </rPr>
      <t xml:space="preserve">(2</t>
    </r>
    <r>
      <rPr>
        <sz val="10"/>
        <color rgb="FF0000FF"/>
        <rFont val="Noto Sans CJK SC"/>
        <family val="2"/>
      </rPr>
      <t xml:space="preserve">년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</si>
  <si>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맑은 고딕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년 내 자가</t>
    </r>
  </si>
  <si>
    <r>
      <rPr>
        <sz val="10"/>
        <color rgb="FF0000FF"/>
        <rFont val="Noto Sans CJK SC"/>
        <family val="2"/>
      </rPr>
      <t xml:space="preserve">예금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단기채</t>
    </r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</si>
  <si>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&lt; ISA </t>
    </r>
    <r>
      <rPr>
        <sz val="10"/>
        <color rgb="FF000000"/>
        <rFont val="Noto Sans CJK SC"/>
        <family val="2"/>
      </rPr>
      <t xml:space="preserve">의무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년</t>
    </r>
    <r>
      <rPr>
        <sz val="10"/>
        <color rgb="FF000000"/>
        <rFont val="맑은 고딕"/>
        <family val="0"/>
        <charset val="1"/>
      </rPr>
      <t xml:space="preserve">. 13.2% </t>
    </r>
    <r>
      <rPr>
        <sz val="10"/>
        <color rgb="FF000000"/>
        <rFont val="Noto Sans CJK SC"/>
        <family val="2"/>
      </rPr>
      <t xml:space="preserve">공제 후 </t>
    </r>
    <r>
      <rPr>
        <sz val="10"/>
        <color rgb="FF000000"/>
        <rFont val="맑은 고딕"/>
        <family val="0"/>
        <charset val="1"/>
      </rPr>
      <t xml:space="preserve">16.5% </t>
    </r>
    <r>
      <rPr>
        <sz val="10"/>
        <color rgb="FF000000"/>
        <rFont val="Noto Sans CJK SC"/>
        <family val="2"/>
      </rPr>
      <t xml:space="preserve">기타소득세면 순손실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원금보존이 정답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</si>
  <si>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은퇴 임박 러시</t>
  </si>
  <si>
    <r>
      <rPr>
        <sz val="10"/>
        <color rgb="FF0000FF"/>
        <rFont val="맑은 고딕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년 내 은퇴</t>
    </r>
  </si>
  <si>
    <r>
      <rPr>
        <sz val="10"/>
        <color rgb="FF000000"/>
        <rFont val="Noto Sans CJK SC"/>
        <family val="2"/>
      </rPr>
      <t xml:space="preserve">퇴직하면 공제 자체가 소멸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재직 </t>
    </r>
    <r>
      <rPr>
        <sz val="10"/>
        <color rgb="FF000000"/>
        <rFont val="맑은 고딕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년이 마지막 기회</t>
    </r>
    <r>
      <rPr>
        <sz val="10"/>
        <color rgb="FF000000"/>
        <rFont val="맑은 고딕"/>
        <family val="0"/>
        <charset val="1"/>
      </rPr>
      <t xml:space="preserve">. 55</t>
    </r>
    <r>
      <rPr>
        <sz val="10"/>
        <color rgb="FF000000"/>
        <rFont val="Noto Sans CJK SC"/>
        <family val="2"/>
      </rPr>
      <t xml:space="preserve">세까지 </t>
    </r>
    <r>
      <rPr>
        <sz val="10"/>
        <color rgb="FF000000"/>
        <rFont val="맑은 고딕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년이라 락업비용 최소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</si>
  <si>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결정세액 부족</t>
  </si>
  <si>
    <t xml:space="preserve">청년도약계좌 우선</t>
  </si>
  <si>
    <r>
      <rPr>
        <sz val="10"/>
        <color rgb="FF000000"/>
        <rFont val="Noto Sans CJK SC"/>
        <family val="2"/>
      </rPr>
      <t xml:space="preserve">결정세액 </t>
    </r>
    <r>
      <rPr>
        <sz val="10"/>
        <color rgb="FF000000"/>
        <rFont val="맑은 고딕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만이 공제 상한</t>
    </r>
    <r>
      <rPr>
        <sz val="10"/>
        <color rgb="FF000000"/>
        <rFont val="맑은 고딕"/>
        <family val="0"/>
        <charset val="1"/>
      </rPr>
      <t xml:space="preserve">. 900</t>
    </r>
    <r>
      <rPr>
        <sz val="10"/>
        <color rgb="FF000000"/>
        <rFont val="Noto Sans CJK SC"/>
        <family val="2"/>
      </rPr>
      <t xml:space="preserve">만 넣어도 환급은 </t>
    </r>
    <r>
      <rPr>
        <sz val="10"/>
        <color rgb="FF000000"/>
        <rFont val="맑은 고딕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만이 최대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실효한도까지만 납입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</si>
  <si>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이미 사적연금 수령 중</t>
  </si>
  <si>
    <t xml:space="preserve">일반계좌</t>
  </si>
  <si>
    <r>
      <rPr>
        <sz val="10"/>
        <color rgb="FF000000"/>
        <rFont val="Noto Sans CJK SC"/>
        <family val="2"/>
      </rPr>
      <t xml:space="preserve">사적연금 </t>
    </r>
    <r>
      <rPr>
        <sz val="10"/>
        <color rgb="FF000000"/>
        <rFont val="맑은 고딕"/>
        <family val="0"/>
        <charset val="1"/>
      </rPr>
      <t xml:space="preserve">1,200</t>
    </r>
    <r>
      <rPr>
        <sz val="10"/>
        <color rgb="FF000000"/>
        <rFont val="Noto Sans CJK SC"/>
        <family val="2"/>
      </rPr>
      <t xml:space="preserve">만 수령 중 → </t>
    </r>
    <r>
      <rPr>
        <sz val="10"/>
        <color rgb="FF000000"/>
        <rFont val="맑은 고딕"/>
        <family val="0"/>
        <charset val="1"/>
      </rPr>
      <t xml:space="preserve">1,500</t>
    </r>
    <r>
      <rPr>
        <sz val="10"/>
        <color rgb="FF000000"/>
        <rFont val="Noto Sans CJK SC"/>
        <family val="2"/>
      </rPr>
      <t xml:space="preserve">만 한도 여유 </t>
    </r>
    <r>
      <rPr>
        <sz val="10"/>
        <color rgb="FF000000"/>
        <rFont val="맑은 고딕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만뿐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초과분 </t>
    </r>
    <r>
      <rPr>
        <sz val="10"/>
        <color rgb="FF000000"/>
        <rFont val="맑은 고딕"/>
        <family val="0"/>
        <charset val="1"/>
      </rPr>
      <t xml:space="preserve">16.5%</t>
    </r>
    <r>
      <rPr>
        <sz val="10"/>
        <color rgb="FF000000"/>
        <rFont val="Noto Sans CJK SC"/>
        <family val="2"/>
      </rPr>
      <t xml:space="preserve">로 세율 역전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</si>
  <si>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FF"/>
        <rFont val="맑은 고딕"/>
        <family val="0"/>
        <charset val="1"/>
      </rPr>
      <t xml:space="preserve">ISA </t>
    </r>
    <r>
      <rPr>
        <sz val="10"/>
        <color rgb="FF0000FF"/>
        <rFont val="Noto Sans CJK SC"/>
        <family val="2"/>
      </rPr>
      <t xml:space="preserve">가입 불가</t>
    </r>
  </si>
  <si>
    <r>
      <rPr>
        <sz val="10"/>
        <color rgb="FF000000"/>
        <rFont val="Noto Sans CJK SC"/>
        <family val="2"/>
      </rPr>
      <t xml:space="preserve">금융소득 </t>
    </r>
    <r>
      <rPr>
        <sz val="10"/>
        <color rgb="FF000000"/>
        <rFont val="맑은 고딕"/>
        <family val="0"/>
        <charset val="1"/>
      </rPr>
      <t xml:space="preserve">2,500</t>
    </r>
    <r>
      <rPr>
        <sz val="10"/>
        <color rgb="FF000000"/>
        <rFont val="Noto Sans CJK SC"/>
        <family val="2"/>
      </rPr>
      <t xml:space="preserve">만으로 </t>
    </r>
    <r>
      <rPr>
        <sz val="10"/>
        <color rgb="FF000000"/>
        <rFont val="맑은 고딕"/>
        <family val="0"/>
        <charset val="1"/>
      </rPr>
      <t xml:space="preserve">ISA </t>
    </r>
    <r>
      <rPr>
        <sz val="10"/>
        <color rgb="FF000000"/>
        <rFont val="Noto Sans CJK SC"/>
        <family val="2"/>
      </rPr>
      <t xml:space="preserve">개설 불가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연금계좌가 유일 통로 → </t>
    </r>
    <r>
      <rPr>
        <sz val="10"/>
        <color rgb="FF000000"/>
        <rFont val="맑은 고딕"/>
        <family val="0"/>
        <charset val="1"/>
      </rPr>
      <t xml:space="preserve">1,800</t>
    </r>
    <r>
      <rPr>
        <sz val="10"/>
        <color rgb="FF000000"/>
        <rFont val="Noto Sans CJK SC"/>
        <family val="2"/>
      </rPr>
      <t xml:space="preserve">만 풀 납입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</si>
  <si>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소득 없는 배우자</t>
  </si>
  <si>
    <t xml:space="preserve">무소득</t>
  </si>
  <si>
    <r>
      <rPr>
        <sz val="10"/>
        <color rgb="FF000000"/>
        <rFont val="맑은 고딕"/>
        <family val="0"/>
        <charset val="1"/>
      </rPr>
      <t xml:space="preserve">IRP</t>
    </r>
    <r>
      <rPr>
        <sz val="10"/>
        <color rgb="FF000000"/>
        <rFont val="Noto Sans CJK SC"/>
        <family val="2"/>
      </rPr>
      <t xml:space="preserve">는 소득요건으로 가입 불가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결정세액 </t>
    </r>
    <r>
      <rPr>
        <sz val="10"/>
        <color rgb="FF000000"/>
        <rFont val="맑은 고딕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이라 연금저축 공제도 </t>
    </r>
    <r>
      <rPr>
        <sz val="10"/>
        <color rgb="FF000000"/>
        <rFont val="맑은 고딕"/>
        <family val="0"/>
        <charset val="1"/>
      </rPr>
      <t xml:space="preserve">0. ISA</t>
    </r>
    <r>
      <rPr>
        <sz val="10"/>
        <color rgb="FF000000"/>
        <rFont val="Noto Sans CJK SC"/>
        <family val="2"/>
      </rPr>
      <t xml:space="preserve">만 유효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</si>
  <si>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FF"/>
        <rFont val="Noto Sans CJK SC"/>
        <family val="2"/>
      </rPr>
      <t xml:space="preserve">프리랜서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자영업</t>
    </r>
  </si>
  <si>
    <t xml:space="preserve">사업</t>
  </si>
  <si>
    <t xml:space="preserve">노란우산공제</t>
  </si>
  <si>
    <r>
      <rPr>
        <sz val="10"/>
        <color rgb="FF000000"/>
        <rFont val="Noto Sans CJK SC"/>
        <family val="2"/>
      </rPr>
      <t xml:space="preserve">노란우산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소득공제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과 연금계좌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세액공제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는 항목이 달라 중복 적용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트랙이 하나 더 있음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</si>
  <si>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무주택 청약 대기</t>
  </si>
  <si>
    <t xml:space="preserve">청약 당첨 시</t>
  </si>
  <si>
    <t xml:space="preserve">주택청약종합저축</t>
  </si>
  <si>
    <r>
      <rPr>
        <sz val="10"/>
        <color rgb="FF000000"/>
        <rFont val="Noto Sans CJK SC"/>
        <family val="2"/>
      </rPr>
      <t xml:space="preserve">청약저축 소득공제가 별도 트랙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당첨 시 계약금 필요하므로 </t>
    </r>
    <r>
      <rPr>
        <sz val="10"/>
        <color rgb="FF000000"/>
        <rFont val="맑은 고딕"/>
        <family val="0"/>
        <charset val="1"/>
      </rPr>
      <t xml:space="preserve">IRP</t>
    </r>
    <r>
      <rPr>
        <sz val="10"/>
        <color rgb="FF000000"/>
        <rFont val="Noto Sans CJK SC"/>
        <family val="2"/>
      </rPr>
      <t xml:space="preserve">보다 </t>
    </r>
    <r>
      <rPr>
        <sz val="10"/>
        <color rgb="FF000000"/>
        <rFont val="맑은 고딕"/>
        <family val="0"/>
        <charset val="1"/>
      </rPr>
      <t xml:space="preserve">ISA </t>
    </r>
    <r>
      <rPr>
        <sz val="10"/>
        <color rgb="FF000000"/>
        <rFont val="Noto Sans CJK SC"/>
        <family val="2"/>
      </rPr>
      <t xml:space="preserve">유동성 우선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</si>
  <si>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해외주식 직접투자</t>
  </si>
  <si>
    <t xml:space="preserve">해외주식 일반계좌</t>
  </si>
  <si>
    <r>
      <rPr>
        <sz val="10"/>
        <color rgb="FF000000"/>
        <rFont val="Noto Sans CJK SC"/>
        <family val="2"/>
      </rPr>
      <t xml:space="preserve">절세계좌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종 모두 해외 상장 직접매수 불가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자산 종류별로 계좌를 나눠 배치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</si>
  <si>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미성년 자녀 명의</t>
  </si>
  <si>
    <t xml:space="preserve">장기</t>
  </si>
  <si>
    <r>
      <rPr>
        <sz val="10"/>
        <color rgb="FF0000FF"/>
        <rFont val="Noto Sans CJK SC"/>
        <family val="2"/>
      </rPr>
      <t xml:space="preserve">일반계좌 </t>
    </r>
    <r>
      <rPr>
        <sz val="10"/>
        <color rgb="FF0000FF"/>
        <rFont val="맑은 고딕"/>
        <family val="0"/>
        <charset val="1"/>
      </rPr>
      <t xml:space="preserve">+ </t>
    </r>
    <r>
      <rPr>
        <sz val="10"/>
        <color rgb="FF0000FF"/>
        <rFont val="Noto Sans CJK SC"/>
        <family val="2"/>
      </rPr>
      <t xml:space="preserve">증여신고</t>
    </r>
  </si>
  <si>
    <r>
      <rPr>
        <sz val="10"/>
        <color rgb="FF000000"/>
        <rFont val="맑은 고딕"/>
        <family val="0"/>
        <charset val="1"/>
      </rPr>
      <t xml:space="preserve">ISA</t>
    </r>
    <r>
      <rPr>
        <sz val="10"/>
        <color rgb="FF000000"/>
        <rFont val="Noto Sans CJK SC"/>
        <family val="2"/>
      </rPr>
      <t xml:space="preserve">는 </t>
    </r>
    <r>
      <rPr>
        <sz val="10"/>
        <color rgb="FF000000"/>
        <rFont val="맑은 고딕"/>
        <family val="0"/>
        <charset val="1"/>
      </rPr>
      <t xml:space="preserve">19</t>
    </r>
    <r>
      <rPr>
        <sz val="10"/>
        <color rgb="FF000000"/>
        <rFont val="Noto Sans CJK SC"/>
        <family val="2"/>
      </rPr>
      <t xml:space="preserve">세 이상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연금저축은 가입되나 </t>
    </r>
    <r>
      <rPr>
        <sz val="10"/>
        <color rgb="FF000000"/>
        <rFont val="맑은 고딕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년 락업에 공제 </t>
    </r>
    <r>
      <rPr>
        <sz val="10"/>
        <color rgb="FF000000"/>
        <rFont val="맑은 고딕"/>
        <family val="0"/>
        <charset val="1"/>
      </rPr>
      <t xml:space="preserve">0. </t>
    </r>
    <r>
      <rPr>
        <sz val="10"/>
        <color rgb="FF000000"/>
        <rFont val="Noto Sans CJK SC"/>
        <family val="2"/>
      </rPr>
      <t xml:space="preserve">절세계좌를 쓰면 안 되는 케이스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</si>
  <si>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공제율 경계선</t>
  </si>
  <si>
    <r>
      <rPr>
        <sz val="10"/>
        <color rgb="FF000000"/>
        <rFont val="맑은 고딕"/>
        <family val="0"/>
        <charset val="1"/>
      </rPr>
      <t xml:space="preserve">5,500</t>
    </r>
    <r>
      <rPr>
        <sz val="10"/>
        <color rgb="FF000000"/>
        <rFont val="Noto Sans CJK SC"/>
        <family val="2"/>
      </rPr>
      <t xml:space="preserve">만 경계는 절벽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성과급으로 넘나들면 환급이 </t>
    </r>
    <r>
      <rPr>
        <sz val="10"/>
        <color rgb="FF000000"/>
        <rFont val="맑은 고딕"/>
        <family val="0"/>
        <charset val="1"/>
      </rPr>
      <t xml:space="preserve">148.5↔118.8</t>
    </r>
    <r>
      <rPr>
        <sz val="10"/>
        <color rgb="FF000000"/>
        <rFont val="Noto Sans CJK SC"/>
        <family val="2"/>
      </rPr>
      <t xml:space="preserve">만으로 요동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전환특례로 방어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</si>
  <si>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육아휴직 연도</t>
  </si>
  <si>
    <t xml:space="preserve">휴직</t>
  </si>
  <si>
    <r>
      <rPr>
        <sz val="10"/>
        <color rgb="FF000000"/>
        <rFont val="Noto Sans CJK SC"/>
        <family val="2"/>
      </rPr>
      <t xml:space="preserve">휴직급여는 비과세라 결정세액 </t>
    </r>
    <r>
      <rPr>
        <sz val="10"/>
        <color rgb="FF000000"/>
        <rFont val="맑은 고딕"/>
        <family val="0"/>
        <charset val="1"/>
      </rPr>
      <t xml:space="preserve">0. </t>
    </r>
    <r>
      <rPr>
        <sz val="10"/>
        <color rgb="FF000000"/>
        <rFont val="Noto Sans CJK SC"/>
        <family val="2"/>
      </rPr>
      <t xml:space="preserve">그 해 연금납입은 환급 </t>
    </r>
    <r>
      <rPr>
        <sz val="10"/>
        <color rgb="FF000000"/>
        <rFont val="맑은 고딕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원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전환특례로 복직연도에 이월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</si>
  <si>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퇴직금 수령 예정</t>
  </si>
  <si>
    <t xml:space="preserve">퇴직 임박</t>
  </si>
  <si>
    <r>
      <rPr>
        <sz val="10"/>
        <color rgb="FF000000"/>
        <rFont val="Noto Sans CJK SC"/>
        <family val="2"/>
      </rPr>
      <t xml:space="preserve">퇴직금 </t>
    </r>
    <r>
      <rPr>
        <sz val="10"/>
        <color rgb="FF000000"/>
        <rFont val="맑은 고딕"/>
        <family val="0"/>
        <charset val="1"/>
      </rPr>
      <t xml:space="preserve">IRP </t>
    </r>
    <r>
      <rPr>
        <sz val="10"/>
        <color rgb="FF000000"/>
        <rFont val="Noto Sans CJK SC"/>
        <family val="2"/>
      </rPr>
      <t xml:space="preserve">유입으로 </t>
    </r>
    <r>
      <rPr>
        <sz val="10"/>
        <color rgb="FF000000"/>
        <rFont val="맑은 고딕"/>
        <family val="0"/>
        <charset val="1"/>
      </rPr>
      <t xml:space="preserve">1,500</t>
    </r>
    <r>
      <rPr>
        <sz val="10"/>
        <color rgb="FF000000"/>
        <rFont val="Noto Sans CJK SC"/>
        <family val="2"/>
      </rPr>
      <t xml:space="preserve">만 한도 압박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안세공 대신 </t>
    </r>
    <r>
      <rPr>
        <sz val="10"/>
        <color rgb="FF000000"/>
        <rFont val="맑은 고딕"/>
        <family val="0"/>
        <charset val="1"/>
      </rPr>
      <t xml:space="preserve">ISA</t>
    </r>
    <r>
      <rPr>
        <sz val="10"/>
        <color rgb="FF000000"/>
        <rFont val="Noto Sans CJK SC"/>
        <family val="2"/>
      </rPr>
      <t xml:space="preserve">로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계좌 분리가 핵심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</si>
  <si>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9"/>
        <color rgb="FF404040"/>
        <rFont val="Noto Sans CJK SC"/>
        <family val="2"/>
      </rPr>
      <t xml:space="preserve">■ 노란색 음영 </t>
    </r>
    <r>
      <rPr>
        <sz val="9"/>
        <color rgb="FF404040"/>
        <rFont val="맑은 고딕"/>
        <family val="0"/>
        <charset val="1"/>
      </rPr>
      <t xml:space="preserve">= </t>
    </r>
    <r>
      <rPr>
        <sz val="9"/>
        <color rgb="FF404040"/>
        <rFont val="Noto Sans CJK SC"/>
        <family val="2"/>
      </rPr>
      <t xml:space="preserve">결정세액이 </t>
    </r>
    <r>
      <rPr>
        <sz val="9"/>
        <color rgb="FF404040"/>
        <rFont val="맑은 고딕"/>
        <family val="0"/>
        <charset val="1"/>
      </rPr>
      <t xml:space="preserve">0</t>
    </r>
    <r>
      <rPr>
        <sz val="9"/>
        <color rgb="FF404040"/>
        <rFont val="Noto Sans CJK SC"/>
        <family val="2"/>
      </rPr>
      <t xml:space="preserve">이거나 극히 낮아 세액공제가 작동하지 않는 케이스 </t>
    </r>
    <r>
      <rPr>
        <sz val="9"/>
        <color rgb="FF404040"/>
        <rFont val="맑은 고딕"/>
        <family val="0"/>
        <charset val="1"/>
      </rPr>
      <t xml:space="preserve">(4·7·11·13)</t>
    </r>
  </si>
  <si>
    <r>
      <rPr>
        <sz val="9"/>
        <color rgb="FF404040"/>
        <rFont val="Noto Sans CJK SC"/>
        <family val="2"/>
      </rPr>
      <t xml:space="preserve">■ 세액공제 대상액 </t>
    </r>
    <r>
      <rPr>
        <sz val="9"/>
        <color rgb="FF404040"/>
        <rFont val="맑은 고딕"/>
        <family val="0"/>
        <charset val="1"/>
      </rPr>
      <t xml:space="preserve">= MIN( MIN(</t>
    </r>
    <r>
      <rPr>
        <sz val="9"/>
        <color rgb="FF404040"/>
        <rFont val="Noto Sans CJK SC"/>
        <family val="2"/>
      </rPr>
      <t xml:space="preserve">연금저축</t>
    </r>
    <r>
      <rPr>
        <sz val="9"/>
        <color rgb="FF404040"/>
        <rFont val="맑은 고딕"/>
        <family val="0"/>
        <charset val="1"/>
      </rPr>
      <t xml:space="preserve">,600) + IRP, 900 ) — </t>
    </r>
    <r>
      <rPr>
        <sz val="9"/>
        <color rgb="FF404040"/>
        <rFont val="Noto Sans CJK SC"/>
        <family val="2"/>
      </rPr>
      <t xml:space="preserve">연금저축 단독 </t>
    </r>
    <r>
      <rPr>
        <sz val="9"/>
        <color rgb="FF404040"/>
        <rFont val="맑은 고딕"/>
        <family val="0"/>
        <charset val="1"/>
      </rPr>
      <t xml:space="preserve">600</t>
    </r>
    <r>
      <rPr>
        <sz val="9"/>
        <color rgb="FF404040"/>
        <rFont val="Noto Sans CJK SC"/>
        <family val="2"/>
      </rPr>
      <t xml:space="preserve">만</t>
    </r>
    <r>
      <rPr>
        <sz val="9"/>
        <color rgb="FF404040"/>
        <rFont val="맑은 고딕"/>
        <family val="0"/>
        <charset val="1"/>
      </rPr>
      <t xml:space="preserve">, IRP </t>
    </r>
    <r>
      <rPr>
        <sz val="9"/>
        <color rgb="FF404040"/>
        <rFont val="Noto Sans CJK SC"/>
        <family val="2"/>
      </rPr>
      <t xml:space="preserve">합산 </t>
    </r>
    <r>
      <rPr>
        <sz val="9"/>
        <color rgb="FF404040"/>
        <rFont val="맑은 고딕"/>
        <family val="0"/>
        <charset val="1"/>
      </rPr>
      <t xml:space="preserve">900</t>
    </r>
    <r>
      <rPr>
        <sz val="9"/>
        <color rgb="FF404040"/>
        <rFont val="Noto Sans CJK SC"/>
        <family val="2"/>
      </rPr>
      <t xml:space="preserve">만 한도</t>
    </r>
  </si>
  <si>
    <r>
      <rPr>
        <sz val="9"/>
        <color rgb="FF404040"/>
        <rFont val="Noto Sans CJK SC"/>
        <family val="2"/>
      </rPr>
      <t xml:space="preserve">■ 예상환급액은 결정세액 범위 내에서만 실현됨</t>
    </r>
    <r>
      <rPr>
        <sz val="9"/>
        <color rgb="FF404040"/>
        <rFont val="맑은 고딕"/>
        <family val="0"/>
        <charset val="1"/>
      </rPr>
      <t xml:space="preserve">. '</t>
    </r>
    <r>
      <rPr>
        <sz val="9"/>
        <color rgb="FF404040"/>
        <rFont val="Noto Sans CJK SC"/>
        <family val="2"/>
      </rPr>
      <t xml:space="preserve">공제 제약 있음</t>
    </r>
    <r>
      <rPr>
        <sz val="9"/>
        <color rgb="FF404040"/>
        <rFont val="맑은 고딕"/>
        <family val="0"/>
        <charset val="1"/>
      </rPr>
      <t xml:space="preserve">'</t>
    </r>
    <r>
      <rPr>
        <sz val="9"/>
        <color rgb="FF404040"/>
        <rFont val="Noto Sans CJK SC"/>
        <family val="2"/>
      </rPr>
      <t xml:space="preserve">이면 표시된 환급액을 다 받지 못함</t>
    </r>
  </si>
  <si>
    <r>
      <rPr>
        <sz val="9"/>
        <color rgb="FF404040"/>
        <rFont val="Noto Sans CJK SC"/>
        <family val="2"/>
      </rPr>
      <t xml:space="preserve">■ 결정세액은 </t>
    </r>
    <r>
      <rPr>
        <sz val="9"/>
        <color rgb="FF404040"/>
        <rFont val="맑은 고딕"/>
        <family val="0"/>
        <charset val="1"/>
      </rPr>
      <t xml:space="preserve">1</t>
    </r>
    <r>
      <rPr>
        <sz val="9"/>
        <color rgb="FF404040"/>
        <rFont val="Noto Sans CJK SC"/>
        <family val="2"/>
      </rPr>
      <t xml:space="preserve">인가구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Noto Sans CJK SC"/>
        <family val="2"/>
      </rPr>
      <t xml:space="preserve">부양가족 없음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Noto Sans CJK SC"/>
        <family val="2"/>
      </rPr>
      <t xml:space="preserve">표준적 </t>
    </r>
    <r>
      <rPr>
        <sz val="9"/>
        <color rgb="FF404040"/>
        <rFont val="맑은 고딕"/>
        <family val="0"/>
        <charset val="1"/>
      </rPr>
      <t xml:space="preserve">4</t>
    </r>
    <r>
      <rPr>
        <sz val="9"/>
        <color rgb="FF404040"/>
        <rFont val="Noto Sans CJK SC"/>
        <family val="2"/>
      </rPr>
      <t xml:space="preserve">대보험 공제만 반영한 추정치</t>
    </r>
    <r>
      <rPr>
        <sz val="9"/>
        <color rgb="FF404040"/>
        <rFont val="맑은 고딕"/>
        <family val="0"/>
        <charset val="1"/>
      </rPr>
      <t xml:space="preserve">. </t>
    </r>
    <r>
      <rPr>
        <sz val="9"/>
        <color rgb="FF404040"/>
        <rFont val="Noto Sans CJK SC"/>
        <family val="2"/>
      </rPr>
      <t xml:space="preserve">부양가족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Noto Sans CJK SC"/>
        <family val="2"/>
      </rPr>
      <t xml:space="preserve">의료비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Noto Sans CJK SC"/>
        <family val="2"/>
      </rPr>
      <t xml:space="preserve">기부금이 있으면 더 낮아짐</t>
    </r>
  </si>
  <si>
    <r>
      <rPr>
        <sz val="9"/>
        <color rgb="FF404040"/>
        <rFont val="Noto Sans CJK SC"/>
        <family val="2"/>
      </rPr>
      <t xml:space="preserve">■ 실제 납입 전 홈택스 </t>
    </r>
    <r>
      <rPr>
        <sz val="9"/>
        <color rgb="FF404040"/>
        <rFont val="맑은 고딕"/>
        <family val="0"/>
        <charset val="1"/>
      </rPr>
      <t xml:space="preserve">'</t>
    </r>
    <r>
      <rPr>
        <sz val="9"/>
        <color rgb="FF404040"/>
        <rFont val="Noto Sans CJK SC"/>
        <family val="2"/>
      </rPr>
      <t xml:space="preserve">연말정산 미리보기</t>
    </r>
    <r>
      <rPr>
        <sz val="9"/>
        <color rgb="FF404040"/>
        <rFont val="맑은 고딕"/>
        <family val="0"/>
        <charset val="1"/>
      </rPr>
      <t xml:space="preserve">'</t>
    </r>
    <r>
      <rPr>
        <sz val="9"/>
        <color rgb="FF404040"/>
        <rFont val="Noto Sans CJK SC"/>
        <family val="2"/>
      </rPr>
      <t xml:space="preserve">로 본인 결정세액을 반드시 확인할 것</t>
    </r>
  </si>
  <si>
    <t xml:space="preserve">케이스별 판단근거 상세</t>
  </si>
  <si>
    <t xml:space="preserve">① 왜 이 배분인가</t>
  </si>
  <si>
    <r>
      <rPr>
        <b val="true"/>
        <sz val="10"/>
        <color rgb="FFFFFFFF"/>
        <rFont val="Noto Sans CJK SC"/>
        <family val="2"/>
      </rPr>
      <t xml:space="preserve">② 핵심 제약 </t>
    </r>
    <r>
      <rPr>
        <b val="true"/>
        <sz val="10"/>
        <color rgb="FFFFFFFF"/>
        <rFont val="맑은 고딕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분기점</t>
    </r>
  </si>
  <si>
    <t xml:space="preserve">③ 실행 시 주의사항</t>
  </si>
  <si>
    <r>
      <rPr>
        <sz val="10"/>
        <rFont val="Noto Sans CJK SC"/>
        <family val="2"/>
      </rPr>
      <t xml:space="preserve">총급여 </t>
    </r>
    <r>
      <rPr>
        <sz val="10"/>
        <rFont val="맑은 고딕"/>
        <family val="0"/>
        <charset val="1"/>
      </rPr>
      <t xml:space="preserve">4,000</t>
    </r>
    <r>
      <rPr>
        <sz val="10"/>
        <rFont val="Noto Sans CJK SC"/>
        <family val="2"/>
      </rPr>
      <t xml:space="preserve">만 → </t>
    </r>
    <r>
      <rPr>
        <sz val="10"/>
        <rFont val="맑은 고딕"/>
        <family val="0"/>
        <charset val="1"/>
      </rPr>
      <t xml:space="preserve">5,500</t>
    </r>
    <r>
      <rPr>
        <sz val="10"/>
        <rFont val="Noto Sans CJK SC"/>
        <family val="2"/>
      </rPr>
      <t xml:space="preserve">만 이하이므로 공제율 </t>
    </r>
    <r>
      <rPr>
        <sz val="10"/>
        <rFont val="맑은 고딕"/>
        <family val="0"/>
        <charset val="1"/>
      </rPr>
      <t xml:space="preserve">16.5%. 55</t>
    </r>
    <r>
      <rPr>
        <sz val="10"/>
        <rFont val="Noto Sans CJK SC"/>
        <family val="2"/>
      </rPr>
      <t xml:space="preserve">세까지 </t>
    </r>
    <r>
      <rPr>
        <sz val="10"/>
        <rFont val="맑은 고딕"/>
        <family val="0"/>
        <charset val="1"/>
      </rPr>
      <t xml:space="preserve">25</t>
    </r>
    <r>
      <rPr>
        <sz val="10"/>
        <rFont val="Noto Sans CJK SC"/>
        <family val="2"/>
      </rPr>
      <t xml:space="preserve">년 남아 락업이 실질 비용이 아님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결정세액 약 </t>
    </r>
    <r>
      <rPr>
        <sz val="10"/>
        <rFont val="맑은 고딕"/>
        <family val="0"/>
        <charset val="1"/>
      </rPr>
      <t xml:space="preserve">179</t>
    </r>
    <r>
      <rPr>
        <sz val="10"/>
        <rFont val="Noto Sans CJK SC"/>
        <family val="2"/>
      </rPr>
      <t xml:space="preserve">만으로 </t>
    </r>
    <r>
      <rPr>
        <sz val="10"/>
        <rFont val="맑은 고딕"/>
        <family val="0"/>
        <charset val="1"/>
      </rPr>
      <t xml:space="preserve">900</t>
    </r>
    <r>
      <rPr>
        <sz val="10"/>
        <rFont val="Noto Sans CJK SC"/>
        <family val="2"/>
      </rPr>
      <t xml:space="preserve">만 풀 납입 시 환급 </t>
    </r>
    <r>
      <rPr>
        <sz val="10"/>
        <rFont val="맑은 고딕"/>
        <family val="0"/>
        <charset val="1"/>
      </rPr>
      <t xml:space="preserve">148.5</t>
    </r>
    <r>
      <rPr>
        <sz val="10"/>
        <rFont val="Noto Sans CJK SC"/>
        <family val="2"/>
      </rPr>
      <t xml:space="preserve">만을 전액 흡수 가능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</si>
  <si>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연봉인상률 </t>
    </r>
    <r>
      <rPr>
        <sz val="10"/>
        <rFont val="맑은 고딕"/>
        <family val="0"/>
        <charset val="1"/>
      </rPr>
      <t xml:space="preserve">5% </t>
    </r>
    <r>
      <rPr>
        <sz val="10"/>
        <rFont val="Noto Sans CJK SC"/>
        <family val="2"/>
      </rPr>
      <t xml:space="preserve">가정 시 </t>
    </r>
    <r>
      <rPr>
        <sz val="10"/>
        <rFont val="맑은 고딕"/>
        <family val="0"/>
        <charset val="1"/>
      </rPr>
      <t xml:space="preserve">37</t>
    </r>
    <r>
      <rPr>
        <sz val="10"/>
        <rFont val="Noto Sans CJK SC"/>
        <family val="2"/>
      </rPr>
      <t xml:space="preserve">세경 </t>
    </r>
    <r>
      <rPr>
        <sz val="10"/>
        <rFont val="맑은 고딕"/>
        <family val="0"/>
        <charset val="1"/>
      </rPr>
      <t xml:space="preserve">5,500</t>
    </r>
    <r>
      <rPr>
        <sz val="10"/>
        <rFont val="Noto Sans CJK SC"/>
        <family val="2"/>
      </rPr>
      <t xml:space="preserve">만을 넘어 </t>
    </r>
    <r>
      <rPr>
        <sz val="10"/>
        <rFont val="맑은 고딕"/>
        <family val="0"/>
        <charset val="1"/>
      </rPr>
      <t xml:space="preserve">13.2%</t>
    </r>
    <r>
      <rPr>
        <sz val="10"/>
        <rFont val="Noto Sans CJK SC"/>
        <family val="2"/>
      </rPr>
      <t xml:space="preserve">로 하락</t>
    </r>
    <r>
      <rPr>
        <sz val="10"/>
        <rFont val="맑은 고딕"/>
        <family val="0"/>
        <charset val="1"/>
      </rPr>
      <t xml:space="preserve">. 16.5% </t>
    </r>
    <r>
      <rPr>
        <sz val="10"/>
        <rFont val="Noto Sans CJK SC"/>
        <family val="2"/>
      </rPr>
      <t xml:space="preserve">구간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년이 생애 가장 값싼 공제 구간이므로 이 기간은 무조건 </t>
    </r>
    <r>
      <rPr>
        <sz val="10"/>
        <rFont val="맑은 고딕"/>
        <family val="0"/>
        <charset val="1"/>
      </rPr>
      <t xml:space="preserve">900</t>
    </r>
    <r>
      <rPr>
        <sz val="10"/>
        <rFont val="Noto Sans CJK SC"/>
        <family val="2"/>
      </rPr>
      <t xml:space="preserve">만 풀 납입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</si>
  <si>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ISA 1,100</t>
    </r>
    <r>
      <rPr>
        <sz val="10"/>
        <rFont val="Noto Sans CJK SC"/>
        <family val="2"/>
      </rPr>
      <t xml:space="preserve">만은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년 만기 후 연금계좌 전환 시 전환액의 </t>
    </r>
    <r>
      <rPr>
        <sz val="10"/>
        <rFont val="맑은 고딕"/>
        <family val="0"/>
        <charset val="1"/>
      </rPr>
      <t xml:space="preserve">10%(</t>
    </r>
    <r>
      <rPr>
        <sz val="10"/>
        <rFont val="Noto Sans CJK SC"/>
        <family val="2"/>
      </rPr>
      <t xml:space="preserve">최대 </t>
    </r>
    <r>
      <rPr>
        <sz val="10"/>
        <rFont val="맑은 고딕"/>
        <family val="0"/>
        <charset val="1"/>
      </rPr>
      <t xml:space="preserve">300</t>
    </r>
    <r>
      <rPr>
        <sz val="10"/>
        <rFont val="Noto Sans CJK SC"/>
        <family val="2"/>
      </rPr>
      <t xml:space="preserve">만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추가 세액공제 재원으로 활용 가능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</si>
  <si>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초단기 목돈 </t>
    </r>
    <r>
      <rPr>
        <sz val="10"/>
        <rFont val="맑은 고딕"/>
        <family val="0"/>
        <charset val="1"/>
      </rPr>
      <t xml:space="preserve">(2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</si>
  <si>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두 가지가 동시에 탈락</t>
    </r>
    <r>
      <rPr>
        <sz val="10"/>
        <rFont val="맑은 고딕"/>
        <family val="0"/>
        <charset val="1"/>
      </rPr>
      <t xml:space="preserve">. ① 2</t>
    </r>
    <r>
      <rPr>
        <sz val="10"/>
        <rFont val="Noto Sans CJK SC"/>
        <family val="2"/>
      </rPr>
      <t xml:space="preserve">년은 </t>
    </r>
    <r>
      <rPr>
        <sz val="10"/>
        <rFont val="맑은 고딕"/>
        <family val="0"/>
        <charset val="1"/>
      </rPr>
      <t xml:space="preserve">ISA </t>
    </r>
    <r>
      <rPr>
        <sz val="10"/>
        <rFont val="Noto Sans CJK SC"/>
        <family val="2"/>
      </rPr>
      <t xml:space="preserve">의무보유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년보다 짧아 세제혜택을 못 받고 일반과세 </t>
    </r>
    <r>
      <rPr>
        <sz val="10"/>
        <rFont val="맑은 고딕"/>
        <family val="0"/>
        <charset val="1"/>
      </rPr>
      <t xml:space="preserve">15.4%</t>
    </r>
    <r>
      <rPr>
        <sz val="10"/>
        <rFont val="Noto Sans CJK SC"/>
        <family val="2"/>
      </rPr>
      <t xml:space="preserve">가 적용됨</t>
    </r>
    <r>
      <rPr>
        <sz val="10"/>
        <rFont val="맑은 고딕"/>
        <family val="0"/>
        <charset val="1"/>
      </rPr>
      <t xml:space="preserve">. ② 13.2% </t>
    </r>
    <r>
      <rPr>
        <sz val="10"/>
        <rFont val="Noto Sans CJK SC"/>
        <family val="2"/>
      </rPr>
      <t xml:space="preserve">공제를 받고 중도해지 시 </t>
    </r>
    <r>
      <rPr>
        <sz val="10"/>
        <rFont val="맑은 고딕"/>
        <family val="0"/>
        <charset val="1"/>
      </rPr>
      <t xml:space="preserve">16.5% </t>
    </r>
    <r>
      <rPr>
        <sz val="10"/>
        <rFont val="Noto Sans CJK SC"/>
        <family val="2"/>
      </rPr>
      <t xml:space="preserve">기타소득세를 내면 </t>
    </r>
    <r>
      <rPr>
        <sz val="10"/>
        <rFont val="맑은 고딕"/>
        <family val="0"/>
        <charset val="1"/>
      </rPr>
      <t xml:space="preserve">3.3%p </t>
    </r>
    <r>
      <rPr>
        <sz val="10"/>
        <rFont val="Noto Sans CJK SC"/>
        <family val="2"/>
      </rPr>
      <t xml:space="preserve">순손실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</si>
  <si>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표의 연금저축 </t>
    </r>
    <r>
      <rPr>
        <sz val="10"/>
        <rFont val="맑은 고딕"/>
        <family val="0"/>
        <charset val="1"/>
      </rPr>
      <t xml:space="preserve">300</t>
    </r>
    <r>
      <rPr>
        <sz val="10"/>
        <rFont val="Noto Sans CJK SC"/>
        <family val="2"/>
      </rPr>
      <t xml:space="preserve">만은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주택자금과 완전히 분리된 노후 전용 자금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에 한한 값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여력 </t>
    </r>
    <r>
      <rPr>
        <sz val="10"/>
        <rFont val="맑은 고딕"/>
        <family val="0"/>
        <charset val="1"/>
      </rPr>
      <t xml:space="preserve">3,000</t>
    </r>
    <r>
      <rPr>
        <sz val="10"/>
        <rFont val="Noto Sans CJK SC"/>
        <family val="2"/>
      </rPr>
      <t xml:space="preserve">만 전액이 주택 잔금이라면 연금저축도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으로 두는 것이 맞음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</si>
  <si>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</t>
    </r>
    <r>
      <rPr>
        <sz val="10"/>
        <rFont val="맑은 고딕"/>
        <family val="0"/>
        <charset val="1"/>
      </rPr>
      <t xml:space="preserve">ISA</t>
    </r>
    <r>
      <rPr>
        <sz val="10"/>
        <rFont val="Noto Sans CJK SC"/>
        <family val="2"/>
      </rPr>
      <t xml:space="preserve">를 소액</t>
    </r>
    <r>
      <rPr>
        <sz val="10"/>
        <rFont val="맑은 고딕"/>
        <family val="0"/>
        <charset val="1"/>
      </rPr>
      <t xml:space="preserve">(10</t>
    </r>
    <r>
      <rPr>
        <sz val="10"/>
        <rFont val="Noto Sans CJK SC"/>
        <family val="2"/>
      </rPr>
      <t xml:space="preserve">만원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으로 개설만 해두면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년 카운트가 시작되고</t>
    </r>
    <r>
      <rPr>
        <sz val="10"/>
        <rFont val="맑은 고딕"/>
        <family val="0"/>
        <charset val="1"/>
      </rPr>
      <t xml:space="preserve">, 2026</t>
    </r>
    <r>
      <rPr>
        <sz val="10"/>
        <rFont val="Noto Sans CJK SC"/>
        <family val="2"/>
      </rPr>
      <t xml:space="preserve">년 내 개설분은 현행 </t>
    </r>
    <r>
      <rPr>
        <sz val="10"/>
        <rFont val="맑은 고딕"/>
        <family val="0"/>
        <charset val="1"/>
      </rPr>
      <t xml:space="preserve">ISA </t>
    </r>
    <r>
      <rPr>
        <sz val="10"/>
        <rFont val="Noto Sans CJK SC"/>
        <family val="2"/>
      </rPr>
      <t xml:space="preserve">체계가 적용됨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</si>
  <si>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논리가 정반대로 뒤집히는 유일한 케이스</t>
    </r>
    <r>
      <rPr>
        <sz val="10"/>
        <rFont val="맑은 고딕"/>
        <family val="0"/>
        <charset val="1"/>
      </rPr>
      <t xml:space="preserve">. ① 50</t>
    </r>
    <r>
      <rPr>
        <sz val="10"/>
        <rFont val="Noto Sans CJK SC"/>
        <family val="2"/>
      </rPr>
      <t xml:space="preserve">세 은퇴 시 </t>
    </r>
    <r>
      <rPr>
        <sz val="10"/>
        <rFont val="맑은 고딕"/>
        <family val="0"/>
        <charset val="1"/>
      </rPr>
      <t xml:space="preserve">55</t>
    </r>
    <r>
      <rPr>
        <sz val="10"/>
        <rFont val="Noto Sans CJK SC"/>
        <family val="2"/>
      </rPr>
      <t xml:space="preserve">세까지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년만 버티면 되어 락업비용이 거의 없음</t>
    </r>
    <r>
      <rPr>
        <sz val="10"/>
        <rFont val="맑은 고딕"/>
        <family val="0"/>
        <charset val="1"/>
      </rPr>
      <t xml:space="preserve">. ② </t>
    </r>
    <r>
      <rPr>
        <sz val="10"/>
        <rFont val="Noto Sans CJK SC"/>
        <family val="2"/>
      </rPr>
      <t xml:space="preserve">퇴직하면 소득이 없어 세액공제 자체가 불가능하므로 재직 중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년이 마지막 기회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</si>
  <si>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연금저축 </t>
    </r>
    <r>
      <rPr>
        <sz val="10"/>
        <rFont val="맑은 고딕"/>
        <family val="0"/>
        <charset val="1"/>
      </rPr>
      <t xml:space="preserve">1,500</t>
    </r>
    <r>
      <rPr>
        <sz val="10"/>
        <rFont val="Noto Sans CJK SC"/>
        <family val="2"/>
      </rPr>
      <t xml:space="preserve">만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공제분 </t>
    </r>
    <r>
      <rPr>
        <sz val="10"/>
        <rFont val="맑은 고딕"/>
        <family val="0"/>
        <charset val="1"/>
      </rPr>
      <t xml:space="preserve">600</t>
    </r>
    <r>
      <rPr>
        <sz val="10"/>
        <rFont val="Noto Sans CJK SC"/>
        <family val="2"/>
      </rPr>
      <t xml:space="preserve">만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안세공 </t>
    </r>
    <r>
      <rPr>
        <sz val="10"/>
        <rFont val="맑은 고딕"/>
        <family val="0"/>
        <charset val="1"/>
      </rPr>
      <t xml:space="preserve">900</t>
    </r>
    <r>
      <rPr>
        <sz val="10"/>
        <rFont val="Noto Sans CJK SC"/>
        <family val="2"/>
      </rPr>
      <t xml:space="preserve">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안세공 원금은 과세제외금액으로 최우선 인출되어 </t>
    </r>
    <r>
      <rPr>
        <sz val="10"/>
        <rFont val="맑은 고딕"/>
        <family val="0"/>
        <charset val="1"/>
      </rPr>
      <t xml:space="preserve">55</t>
    </r>
    <r>
      <rPr>
        <sz val="10"/>
        <rFont val="Noto Sans CJK SC"/>
        <family val="2"/>
      </rPr>
      <t xml:space="preserve">세 전에도 무세금 인출이 가능하므로 </t>
    </r>
    <r>
      <rPr>
        <sz val="10"/>
        <rFont val="맑은 고딕"/>
        <family val="0"/>
        <charset val="1"/>
      </rPr>
      <t xml:space="preserve">50~55</t>
    </r>
    <r>
      <rPr>
        <sz val="10"/>
        <rFont val="Noto Sans CJK SC"/>
        <family val="2"/>
      </rPr>
      <t xml:space="preserve">세 브리지 자금으로도 기능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</si>
  <si>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55~65</t>
    </r>
    <r>
      <rPr>
        <sz val="10"/>
        <rFont val="Noto Sans CJK SC"/>
        <family val="2"/>
      </rPr>
      <t xml:space="preserve">세는 국민연금 개시 전 소득 공백기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이때 인출하면 다른 소득이 없어 </t>
    </r>
    <r>
      <rPr>
        <sz val="10"/>
        <rFont val="맑은 고딕"/>
        <family val="0"/>
        <charset val="1"/>
      </rPr>
      <t xml:space="preserve">1,500</t>
    </r>
    <r>
      <rPr>
        <sz val="10"/>
        <rFont val="Noto Sans CJK SC"/>
        <family val="2"/>
      </rPr>
      <t xml:space="preserve">만을 넘겨도 종합과세 실효세율이 매우 낮음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</si>
  <si>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총급여 </t>
    </r>
    <r>
      <rPr>
        <sz val="10"/>
        <rFont val="맑은 고딕"/>
        <family val="0"/>
        <charset val="1"/>
      </rPr>
      <t xml:space="preserve">2,500</t>
    </r>
    <r>
      <rPr>
        <sz val="10"/>
        <rFont val="Noto Sans CJK SC"/>
        <family val="2"/>
      </rPr>
      <t xml:space="preserve">만의 결정세액은 지방세 포함 약 </t>
    </r>
    <r>
      <rPr>
        <sz val="10"/>
        <rFont val="맑은 고딕"/>
        <family val="0"/>
        <charset val="1"/>
      </rPr>
      <t xml:space="preserve">37</t>
    </r>
    <r>
      <rPr>
        <sz val="10"/>
        <rFont val="Noto Sans CJK SC"/>
        <family val="2"/>
      </rPr>
      <t xml:space="preserve">만원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세액공제는 낼 세금이 있어야 돌려받는 구조이므로 이 </t>
    </r>
    <r>
      <rPr>
        <sz val="10"/>
        <rFont val="맑은 고딕"/>
        <family val="0"/>
        <charset val="1"/>
      </rPr>
      <t xml:space="preserve">37</t>
    </r>
    <r>
      <rPr>
        <sz val="10"/>
        <rFont val="Noto Sans CJK SC"/>
        <family val="2"/>
      </rPr>
      <t xml:space="preserve">만원이 절대 상한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연금저축 약 </t>
    </r>
    <r>
      <rPr>
        <sz val="10"/>
        <rFont val="맑은 고딕"/>
        <family val="0"/>
        <charset val="1"/>
      </rPr>
      <t xml:space="preserve">220</t>
    </r>
    <r>
      <rPr>
        <sz val="10"/>
        <rFont val="Noto Sans CJK SC"/>
        <family val="2"/>
      </rPr>
      <t xml:space="preserve">만원이면 세금이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이 되고 그 이상은 환급이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</si>
  <si>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900</t>
    </r>
    <r>
      <rPr>
        <sz val="10"/>
        <rFont val="Noto Sans CJK SC"/>
        <family val="2"/>
      </rPr>
      <t xml:space="preserve">만 납입 시 환급 </t>
    </r>
    <r>
      <rPr>
        <sz val="10"/>
        <rFont val="맑은 고딕"/>
        <family val="0"/>
        <charset val="1"/>
      </rPr>
      <t xml:space="preserve">148.5</t>
    </r>
    <r>
      <rPr>
        <sz val="10"/>
        <rFont val="Noto Sans CJK SC"/>
        <family val="2"/>
      </rPr>
      <t xml:space="preserve">만은 이 소득구간에서 물리적으로 불가능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표의 </t>
    </r>
    <r>
      <rPr>
        <sz val="10"/>
        <rFont val="맑은 고딕"/>
        <family val="0"/>
        <charset val="1"/>
      </rPr>
      <t xml:space="preserve">200</t>
    </r>
    <r>
      <rPr>
        <sz val="10"/>
        <rFont val="Noto Sans CJK SC"/>
        <family val="2"/>
      </rPr>
      <t xml:space="preserve">만은 안전 마진을 둔 값이며 실효한도는 약 </t>
    </r>
    <r>
      <rPr>
        <sz val="10"/>
        <rFont val="맑은 고딕"/>
        <family val="0"/>
        <charset val="1"/>
      </rPr>
      <t xml:space="preserve">220</t>
    </r>
    <r>
      <rPr>
        <sz val="10"/>
        <rFont val="Noto Sans CJK SC"/>
        <family val="2"/>
      </rPr>
      <t xml:space="preserve">만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</si>
  <si>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청년도약계좌를 최우선 검토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총급여 </t>
    </r>
    <r>
      <rPr>
        <sz val="10"/>
        <rFont val="맑은 고딕"/>
        <family val="0"/>
        <charset val="1"/>
      </rPr>
      <t xml:space="preserve">2,500</t>
    </r>
    <r>
      <rPr>
        <sz val="10"/>
        <rFont val="Noto Sans CJK SC"/>
        <family val="2"/>
      </rPr>
      <t xml:space="preserve">만 구간은 정부기여금 매칭 비율이 가장 높은 구간이라 세액공제보다 수익률이 좋음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</si>
  <si>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100</t>
    </r>
    <r>
      <rPr>
        <sz val="10"/>
        <rFont val="Noto Sans CJK SC"/>
        <family val="2"/>
      </rPr>
      <t xml:space="preserve">만원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사적연금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연금저축</t>
    </r>
    <r>
      <rPr>
        <sz val="10"/>
        <rFont val="맑은 고딕"/>
        <family val="0"/>
        <charset val="1"/>
      </rPr>
      <t xml:space="preserve">·IRP)</t>
    </r>
    <r>
      <rPr>
        <sz val="10"/>
        <rFont val="Noto Sans CJK SC"/>
        <family val="2"/>
      </rPr>
      <t xml:space="preserve">이면 연 </t>
    </r>
    <r>
      <rPr>
        <sz val="10"/>
        <rFont val="맑은 고딕"/>
        <family val="0"/>
        <charset val="1"/>
      </rPr>
      <t xml:space="preserve">1,200</t>
    </r>
    <r>
      <rPr>
        <sz val="10"/>
        <rFont val="Noto Sans CJK SC"/>
        <family val="2"/>
      </rPr>
      <t xml:space="preserve">만 수령 중이므로 </t>
    </r>
    <r>
      <rPr>
        <sz val="10"/>
        <rFont val="맑은 고딕"/>
        <family val="0"/>
        <charset val="1"/>
      </rPr>
      <t xml:space="preserve">1,500</t>
    </r>
    <r>
      <rPr>
        <sz val="10"/>
        <rFont val="Noto Sans CJK SC"/>
        <family val="2"/>
      </rPr>
      <t xml:space="preserve">만 한도 여유가 </t>
    </r>
    <r>
      <rPr>
        <sz val="10"/>
        <rFont val="맑은 고딕"/>
        <family val="0"/>
        <charset val="1"/>
      </rPr>
      <t xml:space="preserve">300</t>
    </r>
    <r>
      <rPr>
        <sz val="10"/>
        <rFont val="Noto Sans CJK SC"/>
        <family val="2"/>
      </rPr>
      <t xml:space="preserve">만뿐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초과분은 </t>
    </r>
    <r>
      <rPr>
        <sz val="10"/>
        <rFont val="맑은 고딕"/>
        <family val="0"/>
        <charset val="1"/>
      </rPr>
      <t xml:space="preserve">16.5% </t>
    </r>
    <r>
      <rPr>
        <sz val="10"/>
        <rFont val="Noto Sans CJK SC"/>
        <family val="2"/>
      </rPr>
      <t xml:space="preserve">분리과세 또는 종합과세 → </t>
    </r>
    <r>
      <rPr>
        <sz val="10"/>
        <rFont val="맑은 고딕"/>
        <family val="0"/>
        <charset val="1"/>
      </rPr>
      <t xml:space="preserve">13.2% </t>
    </r>
    <r>
      <rPr>
        <sz val="10"/>
        <rFont val="Noto Sans CJK SC"/>
        <family val="2"/>
      </rPr>
      <t xml:space="preserve">공제받고 </t>
    </r>
    <r>
      <rPr>
        <sz val="10"/>
        <rFont val="맑은 고딕"/>
        <family val="0"/>
        <charset val="1"/>
      </rPr>
      <t xml:space="preserve">16.5%</t>
    </r>
    <r>
      <rPr>
        <sz val="10"/>
        <rFont val="Noto Sans CJK SC"/>
        <family val="2"/>
      </rPr>
      <t xml:space="preserve">를 내는 세율 역전 발생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</si>
  <si>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만약 같은 월 </t>
    </r>
    <r>
      <rPr>
        <sz val="10"/>
        <rFont val="맑은 고딕"/>
        <family val="0"/>
        <charset val="1"/>
      </rPr>
      <t xml:space="preserve">100</t>
    </r>
    <r>
      <rPr>
        <sz val="10"/>
        <rFont val="Noto Sans CJK SC"/>
        <family val="2"/>
      </rPr>
      <t xml:space="preserve">만원이 국민연금이라면 답이 완전히 뒤집힘</t>
    </r>
    <r>
      <rPr>
        <sz val="10"/>
        <rFont val="맑은 고딕"/>
        <family val="0"/>
        <charset val="1"/>
      </rPr>
      <t xml:space="preserve">. 1,500</t>
    </r>
    <r>
      <rPr>
        <sz val="10"/>
        <rFont val="Noto Sans CJK SC"/>
        <family val="2"/>
      </rPr>
      <t xml:space="preserve">만 한도는 사적연금만 계산하므로 여유가 통째로 남아 있고</t>
    </r>
    <r>
      <rPr>
        <sz val="10"/>
        <rFont val="맑은 고딕"/>
        <family val="0"/>
        <charset val="1"/>
      </rPr>
      <t xml:space="preserve">, 60</t>
    </r>
    <r>
      <rPr>
        <sz val="10"/>
        <rFont val="Noto Sans CJK SC"/>
        <family val="2"/>
      </rPr>
      <t xml:space="preserve">세는 락업도 없어 연금저축 </t>
    </r>
    <r>
      <rPr>
        <sz val="10"/>
        <rFont val="맑은 고딕"/>
        <family val="0"/>
        <charset val="1"/>
      </rPr>
      <t xml:space="preserve">600 + IRP 300 </t>
    </r>
    <r>
      <rPr>
        <sz val="10"/>
        <rFont val="Noto Sans CJK SC"/>
        <family val="2"/>
      </rPr>
      <t xml:space="preserve">풀 납입이 정답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</si>
  <si>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총급여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억 직장가입자는 보수외소득 연 </t>
    </r>
    <r>
      <rPr>
        <sz val="10"/>
        <rFont val="맑은 고딕"/>
        <family val="0"/>
        <charset val="1"/>
      </rPr>
      <t xml:space="preserve">2,000</t>
    </r>
    <r>
      <rPr>
        <sz val="10"/>
        <rFont val="Noto Sans CJK SC"/>
        <family val="2"/>
      </rPr>
      <t xml:space="preserve">만 초과 시 건보료가 추가 부과되므로 </t>
    </r>
    <r>
      <rPr>
        <sz val="10"/>
        <rFont val="맑은 고딕"/>
        <family val="0"/>
        <charset val="1"/>
      </rPr>
      <t xml:space="preserve">ISA 2,000</t>
    </r>
    <r>
      <rPr>
        <sz val="10"/>
        <rFont val="Noto Sans CJK SC"/>
        <family val="2"/>
      </rPr>
      <t xml:space="preserve">만은 어느 경우든 채우는 것이 맞음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</si>
  <si>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ISA </t>
    </r>
    <r>
      <rPr>
        <sz val="10"/>
        <rFont val="Noto Sans CJK SC"/>
        <family val="2"/>
      </rPr>
      <t xml:space="preserve">가입 불가</t>
    </r>
  </si>
  <si>
    <r>
      <rPr>
        <sz val="10"/>
        <rFont val="Noto Sans CJK SC"/>
        <family val="2"/>
      </rPr>
      <t xml:space="preserve">직전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 과세기간 중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회라도 금융소득종합과세 대상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금융소득 연 </t>
    </r>
    <r>
      <rPr>
        <sz val="10"/>
        <rFont val="맑은 고딕"/>
        <family val="0"/>
        <charset val="1"/>
      </rPr>
      <t xml:space="preserve">2,000</t>
    </r>
    <r>
      <rPr>
        <sz val="10"/>
        <rFont val="Noto Sans CJK SC"/>
        <family val="2"/>
      </rPr>
      <t xml:space="preserve">만 초과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이면 </t>
    </r>
    <r>
      <rPr>
        <sz val="10"/>
        <rFont val="맑은 고딕"/>
        <family val="0"/>
        <charset val="1"/>
      </rPr>
      <t xml:space="preserve">ISA </t>
    </r>
    <r>
      <rPr>
        <sz val="10"/>
        <rFont val="Noto Sans CJK SC"/>
        <family val="2"/>
      </rPr>
      <t xml:space="preserve">개설 자체가 불가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고배당 포트폴리오 보유자가 자주 걸림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</si>
  <si>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ISA</t>
    </r>
    <r>
      <rPr>
        <sz val="10"/>
        <rFont val="Noto Sans CJK SC"/>
        <family val="2"/>
      </rPr>
      <t xml:space="preserve">가 막히면 연금계좌가 유일한 절세 통로이므로 예외적으로 </t>
    </r>
    <r>
      <rPr>
        <sz val="10"/>
        <rFont val="맑은 고딕"/>
        <family val="0"/>
        <charset val="1"/>
      </rPr>
      <t xml:space="preserve">1,800</t>
    </r>
    <r>
      <rPr>
        <sz val="10"/>
        <rFont val="Noto Sans CJK SC"/>
        <family val="2"/>
      </rPr>
      <t xml:space="preserve">만 풀 납입이 정당화됨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공제분 </t>
    </r>
    <r>
      <rPr>
        <sz val="10"/>
        <rFont val="맑은 고딕"/>
        <family val="0"/>
        <charset val="1"/>
      </rPr>
      <t xml:space="preserve">900</t>
    </r>
    <r>
      <rPr>
        <sz val="10"/>
        <rFont val="Noto Sans CJK SC"/>
        <family val="2"/>
      </rPr>
      <t xml:space="preserve">만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안세공 </t>
    </r>
    <r>
      <rPr>
        <sz val="10"/>
        <rFont val="맑은 고딕"/>
        <family val="0"/>
        <charset val="1"/>
      </rPr>
      <t xml:space="preserve">900</t>
    </r>
    <r>
      <rPr>
        <sz val="10"/>
        <rFont val="Noto Sans CJK SC"/>
        <family val="2"/>
      </rPr>
      <t xml:space="preserve">만 구조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</si>
  <si>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동시에 포트폴리오를 배당 중심에서 성장주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국내주식형으로 옮겨 금융소득을 </t>
    </r>
    <r>
      <rPr>
        <sz val="10"/>
        <rFont val="맑은 고딕"/>
        <family val="0"/>
        <charset val="1"/>
      </rPr>
      <t xml:space="preserve">2,000</t>
    </r>
    <r>
      <rPr>
        <sz val="10"/>
        <rFont val="Noto Sans CJK SC"/>
        <family val="2"/>
      </rPr>
      <t xml:space="preserve">만 아래로 낮추면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년 뒤 </t>
    </r>
    <r>
      <rPr>
        <sz val="10"/>
        <rFont val="맑은 고딕"/>
        <family val="0"/>
        <charset val="1"/>
      </rPr>
      <t xml:space="preserve">ISA </t>
    </r>
    <r>
      <rPr>
        <sz val="10"/>
        <rFont val="Noto Sans CJK SC"/>
        <family val="2"/>
      </rPr>
      <t xml:space="preserve">자격이 복원됨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</si>
  <si>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IRP</t>
    </r>
    <r>
      <rPr>
        <sz val="10"/>
        <rFont val="Noto Sans CJK SC"/>
        <family val="2"/>
      </rPr>
      <t xml:space="preserve">는 소득이 있는 취업자만 가입 가능하여 전업주부는 계좌 개설 자체가 불가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연금저축은 나이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소득 제한이 없어 가입은 되지만 결정세액이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이라 세액공제가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</si>
  <si>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ISA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19</t>
    </r>
    <r>
      <rPr>
        <sz val="10"/>
        <rFont val="Noto Sans CJK SC"/>
        <family val="2"/>
      </rPr>
      <t xml:space="preserve">세 이상 거주자면 소득 요건 없이 가입 가능하므로 유일하게 작동하는 절세계좌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</si>
  <si>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부부 전략</t>
    </r>
    <r>
      <rPr>
        <sz val="10"/>
        <rFont val="맑은 고딕"/>
        <family val="0"/>
        <charset val="1"/>
      </rPr>
      <t xml:space="preserve">: ISA</t>
    </r>
    <r>
      <rPr>
        <sz val="10"/>
        <rFont val="Noto Sans CJK SC"/>
        <family val="2"/>
      </rPr>
      <t xml:space="preserve">는 개인별 한도이므로 부부가 각각 개설하면 연 </t>
    </r>
    <r>
      <rPr>
        <sz val="10"/>
        <rFont val="맑은 고딕"/>
        <family val="0"/>
        <charset val="1"/>
      </rPr>
      <t xml:space="preserve">4,000</t>
    </r>
    <r>
      <rPr>
        <sz val="10"/>
        <rFont val="Noto Sans CJK SC"/>
        <family val="2"/>
      </rPr>
      <t xml:space="preserve">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총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억을 활용 가능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외벌이 가구는 배우자 </t>
    </r>
    <r>
      <rPr>
        <sz val="10"/>
        <rFont val="맑은 고딕"/>
        <family val="0"/>
        <charset val="1"/>
      </rPr>
      <t xml:space="preserve">ISA</t>
    </r>
    <r>
      <rPr>
        <sz val="10"/>
        <rFont val="Noto Sans CJK SC"/>
        <family val="2"/>
      </rPr>
      <t xml:space="preserve">를 반드시 개설할 것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</si>
  <si>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프리랜서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자영업</t>
    </r>
  </si>
  <si>
    <r>
      <rPr>
        <sz val="10"/>
        <rFont val="Noto Sans CJK SC"/>
        <family val="2"/>
      </rPr>
      <t xml:space="preserve">노란우산공제는 소득공제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연금계좌는 세액공제로 항목이 분리되어 있어 중복 적용이 가능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직장인에게 없는 절세 트랙이 하나 더 있는 셈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</si>
  <si>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사업소득 </t>
    </r>
    <r>
      <rPr>
        <sz val="10"/>
        <rFont val="맑은 고딕"/>
        <family val="0"/>
        <charset val="1"/>
      </rPr>
      <t xml:space="preserve">8,000</t>
    </r>
    <r>
      <rPr>
        <sz val="10"/>
        <rFont val="Noto Sans CJK SC"/>
        <family val="2"/>
      </rPr>
      <t xml:space="preserve">만은 노란우산 소득공제 한도가 </t>
    </r>
    <r>
      <rPr>
        <sz val="10"/>
        <rFont val="맑은 고딕"/>
        <family val="0"/>
        <charset val="1"/>
      </rPr>
      <t xml:space="preserve">400</t>
    </r>
    <r>
      <rPr>
        <sz val="10"/>
        <rFont val="Noto Sans CJK SC"/>
        <family val="2"/>
      </rPr>
      <t xml:space="preserve">만원 구간</t>
    </r>
    <r>
      <rPr>
        <sz val="10"/>
        <rFont val="맑은 고딕"/>
        <family val="0"/>
        <charset val="1"/>
      </rPr>
      <t xml:space="preserve">(4,000</t>
    </r>
    <r>
      <rPr>
        <sz val="10"/>
        <rFont val="Noto Sans CJK SC"/>
        <family val="2"/>
      </rPr>
      <t xml:space="preserve">만 초과</t>
    </r>
    <r>
      <rPr>
        <sz val="10"/>
        <rFont val="맑은 고딕"/>
        <family val="0"/>
        <charset val="1"/>
      </rPr>
      <t xml:space="preserve">~1</t>
    </r>
    <r>
      <rPr>
        <sz val="10"/>
        <rFont val="Noto Sans CJK SC"/>
        <family val="2"/>
      </rPr>
      <t xml:space="preserve">억 이하</t>
    </r>
    <r>
      <rPr>
        <sz val="10"/>
        <rFont val="맑은 고딕"/>
        <family val="0"/>
        <charset val="1"/>
      </rPr>
      <t xml:space="preserve">). 4,000</t>
    </r>
    <r>
      <rPr>
        <sz val="10"/>
        <rFont val="Noto Sans CJK SC"/>
        <family val="2"/>
      </rPr>
      <t xml:space="preserve">만 이하면 </t>
    </r>
    <r>
      <rPr>
        <sz val="10"/>
        <rFont val="맑은 고딕"/>
        <family val="0"/>
        <charset val="1"/>
      </rPr>
      <t xml:space="preserve">600</t>
    </r>
    <r>
      <rPr>
        <sz val="10"/>
        <rFont val="Noto Sans CJK SC"/>
        <family val="2"/>
      </rPr>
      <t xml:space="preserve">만</t>
    </r>
    <r>
      <rPr>
        <sz val="10"/>
        <rFont val="맑은 고딕"/>
        <family val="0"/>
        <charset val="1"/>
      </rPr>
      <t xml:space="preserve">, 1</t>
    </r>
    <r>
      <rPr>
        <sz val="10"/>
        <rFont val="Noto Sans CJK SC"/>
        <family val="2"/>
      </rPr>
      <t xml:space="preserve">억 초과면 </t>
    </r>
    <r>
      <rPr>
        <sz val="10"/>
        <rFont val="맑은 고딕"/>
        <family val="0"/>
        <charset val="1"/>
      </rPr>
      <t xml:space="preserve">200</t>
    </r>
    <r>
      <rPr>
        <sz val="10"/>
        <rFont val="Noto Sans CJK SC"/>
        <family val="2"/>
      </rPr>
      <t xml:space="preserve">만으로 달라짐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</si>
  <si>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일 납입분부터 </t>
    </r>
    <r>
      <rPr>
        <sz val="10"/>
        <rFont val="맑은 고딕"/>
        <family val="0"/>
        <charset val="1"/>
      </rPr>
      <t xml:space="preserve">50</t>
    </r>
    <r>
      <rPr>
        <sz val="10"/>
        <rFont val="Noto Sans CJK SC"/>
        <family val="2"/>
      </rPr>
      <t xml:space="preserve">개월 추가납입 한도가 폐지되어 사업을 유지하는 한 매년 한도를 반복 활용 가능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연간 납입한도도 </t>
    </r>
    <r>
      <rPr>
        <sz val="10"/>
        <rFont val="맑은 고딕"/>
        <family val="0"/>
        <charset val="1"/>
      </rPr>
      <t xml:space="preserve">1,200</t>
    </r>
    <r>
      <rPr>
        <sz val="10"/>
        <rFont val="Noto Sans CJK SC"/>
        <family val="2"/>
      </rPr>
      <t xml:space="preserve">만 → </t>
    </r>
    <r>
      <rPr>
        <sz val="10"/>
        <rFont val="맑은 고딕"/>
        <family val="0"/>
        <charset val="1"/>
      </rPr>
      <t xml:space="preserve">1,800</t>
    </r>
    <r>
      <rPr>
        <sz val="10"/>
        <rFont val="Noto Sans CJK SC"/>
        <family val="2"/>
      </rPr>
      <t xml:space="preserve">만으로 확대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</si>
  <si>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주택청약종합저축은 </t>
    </r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년부터 한도 </t>
    </r>
    <r>
      <rPr>
        <sz val="10"/>
        <rFont val="맑은 고딕"/>
        <family val="0"/>
        <charset val="1"/>
      </rPr>
      <t xml:space="preserve">300</t>
    </r>
    <r>
      <rPr>
        <sz val="10"/>
        <rFont val="Noto Sans CJK SC"/>
        <family val="2"/>
      </rPr>
      <t xml:space="preserve">만원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납입액의 </t>
    </r>
    <r>
      <rPr>
        <sz val="10"/>
        <rFont val="맑은 고딕"/>
        <family val="0"/>
        <charset val="1"/>
      </rPr>
      <t xml:space="preserve">40%(</t>
    </r>
    <r>
      <rPr>
        <sz val="10"/>
        <rFont val="Noto Sans CJK SC"/>
        <family val="2"/>
      </rPr>
      <t xml:space="preserve">최대 </t>
    </r>
    <r>
      <rPr>
        <sz val="10"/>
        <rFont val="맑은 고딕"/>
        <family val="0"/>
        <charset val="1"/>
      </rPr>
      <t xml:space="preserve">120</t>
    </r>
    <r>
      <rPr>
        <sz val="10"/>
        <rFont val="Noto Sans CJK SC"/>
        <family val="2"/>
      </rPr>
      <t xml:space="preserve">만원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소득공제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무주택 세대주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총급여 </t>
    </r>
    <r>
      <rPr>
        <sz val="10"/>
        <rFont val="맑은 고딕"/>
        <family val="0"/>
        <charset val="1"/>
      </rPr>
      <t xml:space="preserve">7,000</t>
    </r>
    <r>
      <rPr>
        <sz val="10"/>
        <rFont val="Noto Sans CJK SC"/>
        <family val="2"/>
      </rPr>
      <t xml:space="preserve">만 이하 요건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</si>
  <si>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소득공제 </t>
    </r>
    <r>
      <rPr>
        <sz val="10"/>
        <rFont val="맑은 고딕"/>
        <family val="0"/>
        <charset val="1"/>
      </rPr>
      <t xml:space="preserve">120</t>
    </r>
    <r>
      <rPr>
        <sz val="10"/>
        <rFont val="Noto Sans CJK SC"/>
        <family val="2"/>
      </rPr>
      <t xml:space="preserve">만원의 절세효과는 과세표준 </t>
    </r>
    <r>
      <rPr>
        <sz val="10"/>
        <rFont val="맑은 고딕"/>
        <family val="0"/>
        <charset val="1"/>
      </rPr>
      <t xml:space="preserve">5,000</t>
    </r>
    <r>
      <rPr>
        <sz val="10"/>
        <rFont val="Noto Sans CJK SC"/>
        <family val="2"/>
      </rPr>
      <t xml:space="preserve">만 구간에서 약 </t>
    </r>
    <r>
      <rPr>
        <sz val="10"/>
        <rFont val="맑은 고딕"/>
        <family val="0"/>
        <charset val="1"/>
      </rPr>
      <t xml:space="preserve">29</t>
    </r>
    <r>
      <rPr>
        <sz val="10"/>
        <rFont val="Noto Sans CJK SC"/>
        <family val="2"/>
      </rPr>
      <t xml:space="preserve">만원으로 연금저축 </t>
    </r>
    <r>
      <rPr>
        <sz val="10"/>
        <rFont val="맑은 고딕"/>
        <family val="0"/>
        <charset val="1"/>
      </rPr>
      <t xml:space="preserve">300</t>
    </r>
    <r>
      <rPr>
        <sz val="10"/>
        <rFont val="Noto Sans CJK SC"/>
        <family val="2"/>
      </rPr>
      <t xml:space="preserve">만</t>
    </r>
    <r>
      <rPr>
        <sz val="10"/>
        <rFont val="맑은 고딕"/>
        <family val="0"/>
        <charset val="1"/>
      </rPr>
      <t xml:space="preserve">(49.5</t>
    </r>
    <r>
      <rPr>
        <sz val="10"/>
        <rFont val="Noto Sans CJK SC"/>
        <family val="2"/>
      </rPr>
      <t xml:space="preserve">만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보다 작지만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청약 자격이라는 비금전적 가치가 붙어 우선 배정이 합리적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</si>
  <si>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IRP 0</t>
    </r>
    <r>
      <rPr>
        <sz val="10"/>
        <rFont val="Noto Sans CJK SC"/>
        <family val="2"/>
      </rPr>
      <t xml:space="preserve">은 조건부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청약 당첨이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 이상 남았다고 판단되면 </t>
    </r>
    <r>
      <rPr>
        <sz val="10"/>
        <rFont val="맑은 고딕"/>
        <family val="0"/>
        <charset val="1"/>
      </rPr>
      <t xml:space="preserve">ISA</t>
    </r>
    <r>
      <rPr>
        <sz val="10"/>
        <rFont val="Noto Sans CJK SC"/>
        <family val="2"/>
      </rPr>
      <t xml:space="preserve">를 </t>
    </r>
    <r>
      <rPr>
        <sz val="10"/>
        <rFont val="맑은 고딕"/>
        <family val="0"/>
        <charset val="1"/>
      </rPr>
      <t xml:space="preserve">300</t>
    </r>
    <r>
      <rPr>
        <sz val="10"/>
        <rFont val="Noto Sans CJK SC"/>
        <family val="2"/>
      </rPr>
      <t xml:space="preserve">만 줄이고 </t>
    </r>
    <r>
      <rPr>
        <sz val="10"/>
        <rFont val="맑은 고딕"/>
        <family val="0"/>
        <charset val="1"/>
      </rPr>
      <t xml:space="preserve">IRP 300</t>
    </r>
    <r>
      <rPr>
        <sz val="10"/>
        <rFont val="Noto Sans CJK SC"/>
        <family val="2"/>
      </rPr>
      <t xml:space="preserve">만을 추가하는 편이 환급 </t>
    </r>
    <r>
      <rPr>
        <sz val="10"/>
        <rFont val="맑은 고딕"/>
        <family val="0"/>
        <charset val="1"/>
      </rPr>
      <t xml:space="preserve">49.5</t>
    </r>
    <r>
      <rPr>
        <sz val="10"/>
        <rFont val="Noto Sans CJK SC"/>
        <family val="2"/>
      </rPr>
      <t xml:space="preserve">만만큼 유리함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</si>
  <si>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ISA·</t>
    </r>
    <r>
      <rPr>
        <sz val="10"/>
        <rFont val="Noto Sans CJK SC"/>
        <family val="2"/>
      </rPr>
      <t xml:space="preserve">연금저축</t>
    </r>
    <r>
      <rPr>
        <sz val="10"/>
        <rFont val="맑은 고딕"/>
        <family val="0"/>
        <charset val="1"/>
      </rPr>
      <t xml:space="preserve">·IRP </t>
    </r>
    <r>
      <rPr>
        <sz val="10"/>
        <rFont val="Noto Sans CJK SC"/>
        <family val="2"/>
      </rPr>
      <t xml:space="preserve">세 계좌 모두 해외 상장 종목의 직접 매수가 불가능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절세계좌를 포기할 이유는 없고 자산 종류별로 계좌를 나눠 배치하는 것이 정답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</si>
  <si>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배치 원칙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연금</t>
    </r>
    <r>
      <rPr>
        <sz val="10"/>
        <rFont val="맑은 고딕"/>
        <family val="0"/>
        <charset val="1"/>
      </rPr>
      <t xml:space="preserve">·ISA</t>
    </r>
    <r>
      <rPr>
        <sz val="10"/>
        <rFont val="Noto Sans CJK SC"/>
        <family val="2"/>
      </rPr>
      <t xml:space="preserve">에는 국내상장 해외지수 </t>
    </r>
    <r>
      <rPr>
        <sz val="10"/>
        <rFont val="맑은 고딕"/>
        <family val="0"/>
        <charset val="1"/>
      </rPr>
      <t xml:space="preserve">ETF·</t>
    </r>
    <r>
      <rPr>
        <sz val="10"/>
        <rFont val="Noto Sans CJK SC"/>
        <family val="2"/>
      </rPr>
      <t xml:space="preserve">채권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리츠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배당소득세 </t>
    </r>
    <r>
      <rPr>
        <sz val="10"/>
        <rFont val="맑은 고딕"/>
        <family val="0"/>
        <charset val="1"/>
      </rPr>
      <t xml:space="preserve">15.4% </t>
    </r>
    <r>
      <rPr>
        <sz val="10"/>
        <rFont val="Noto Sans CJK SC"/>
        <family val="2"/>
      </rPr>
      <t xml:space="preserve">대상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일반 해외주식계좌에는 개별주 직접투자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양도세 </t>
    </r>
    <r>
      <rPr>
        <sz val="10"/>
        <rFont val="맑은 고딕"/>
        <family val="0"/>
        <charset val="1"/>
      </rPr>
      <t xml:space="preserve">22%, </t>
    </r>
    <r>
      <rPr>
        <sz val="10"/>
        <rFont val="Noto Sans CJK SC"/>
        <family val="2"/>
      </rPr>
      <t xml:space="preserve">연 </t>
    </r>
    <r>
      <rPr>
        <sz val="10"/>
        <rFont val="맑은 고딕"/>
        <family val="0"/>
        <charset val="1"/>
      </rPr>
      <t xml:space="preserve">250</t>
    </r>
    <r>
      <rPr>
        <sz val="10"/>
        <rFont val="Noto Sans CJK SC"/>
        <family val="2"/>
      </rPr>
      <t xml:space="preserve">만 기본공제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를 담음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</si>
  <si>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해외계좌는 매년 </t>
    </r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월에 평가익 </t>
    </r>
    <r>
      <rPr>
        <sz val="10"/>
        <rFont val="맑은 고딕"/>
        <family val="0"/>
        <charset val="1"/>
      </rPr>
      <t xml:space="preserve">250</t>
    </r>
    <r>
      <rPr>
        <sz val="10"/>
        <rFont val="Noto Sans CJK SC"/>
        <family val="2"/>
      </rPr>
      <t xml:space="preserve">만원어치를 익절 후 재매수하면 기본공제를 소진하며 취득가액을 높일 수 있음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안 쓰면 소멸하는 공제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</si>
  <si>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ISA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19</t>
    </r>
    <r>
      <rPr>
        <sz val="10"/>
        <rFont val="Noto Sans CJK SC"/>
        <family val="2"/>
      </rPr>
      <t xml:space="preserve">세 이상</t>
    </r>
    <r>
      <rPr>
        <sz val="10"/>
        <rFont val="맑은 고딕"/>
        <family val="0"/>
        <charset val="1"/>
      </rPr>
      <t xml:space="preserve">(15~19</t>
    </r>
    <r>
      <rPr>
        <sz val="10"/>
        <rFont val="Noto Sans CJK SC"/>
        <family val="2"/>
      </rPr>
      <t xml:space="preserve">세는 근로소득 있을 때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이라 미성년자 불가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연금저축은 나이 제한이 없어 가입은 되지만 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세 가입 시 </t>
    </r>
    <r>
      <rPr>
        <sz val="10"/>
        <rFont val="맑은 고딕"/>
        <family val="0"/>
        <charset val="1"/>
      </rPr>
      <t xml:space="preserve">55</t>
    </r>
    <r>
      <rPr>
        <sz val="10"/>
        <rFont val="Noto Sans CJK SC"/>
        <family val="2"/>
      </rPr>
      <t xml:space="preserve">세까지 </t>
    </r>
    <r>
      <rPr>
        <sz val="10"/>
        <rFont val="맑은 고딕"/>
        <family val="0"/>
        <charset val="1"/>
      </rPr>
      <t xml:space="preserve">45</t>
    </r>
    <r>
      <rPr>
        <sz val="10"/>
        <rFont val="Noto Sans CJK SC"/>
        <family val="2"/>
      </rPr>
      <t xml:space="preserve">년 락업인데 세액공제는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</si>
  <si>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락업만 지불하고 혜택은 없는 구조이므로 절세계좌를 쓰면 안 되는 케이스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일반 위탁계좌가 정답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</si>
  <si>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미성년 자녀는 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년간 </t>
    </r>
    <r>
      <rPr>
        <sz val="10"/>
        <rFont val="맑은 고딕"/>
        <family val="0"/>
        <charset val="1"/>
      </rPr>
      <t xml:space="preserve">2,000</t>
    </r>
    <r>
      <rPr>
        <sz val="10"/>
        <rFont val="Noto Sans CJK SC"/>
        <family val="2"/>
      </rPr>
      <t xml:space="preserve">만원까지 증여세 없음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증여신고를 해두면 이후 운용수익 전체가 자녀 고유재산으로 인정되어 향후 자금출처 문제가 사라짐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신고하지 않으면 부모 재산으로 간주될 수 있음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</si>
  <si>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총급여 </t>
    </r>
    <r>
      <rPr>
        <sz val="10"/>
        <rFont val="맑은 고딕"/>
        <family val="0"/>
        <charset val="1"/>
      </rPr>
      <t xml:space="preserve">5,500</t>
    </r>
    <r>
      <rPr>
        <sz val="10"/>
        <rFont val="Noto Sans CJK SC"/>
        <family val="2"/>
      </rPr>
      <t xml:space="preserve">만은 연속이 아니라 절벽</t>
    </r>
    <r>
      <rPr>
        <sz val="10"/>
        <rFont val="맑은 고딕"/>
        <family val="0"/>
        <charset val="1"/>
      </rPr>
      <t xml:space="preserve">. 5,499</t>
    </r>
    <r>
      <rPr>
        <sz val="10"/>
        <rFont val="Noto Sans CJK SC"/>
        <family val="2"/>
      </rPr>
      <t xml:space="preserve">만이면 </t>
    </r>
    <r>
      <rPr>
        <sz val="10"/>
        <rFont val="맑은 고딕"/>
        <family val="0"/>
        <charset val="1"/>
      </rPr>
      <t xml:space="preserve">16.5%, 5,501</t>
    </r>
    <r>
      <rPr>
        <sz val="10"/>
        <rFont val="Noto Sans CJK SC"/>
        <family val="2"/>
      </rPr>
      <t xml:space="preserve">만이면 </t>
    </r>
    <r>
      <rPr>
        <sz val="10"/>
        <rFont val="맑은 고딕"/>
        <family val="0"/>
        <charset val="1"/>
      </rPr>
      <t xml:space="preserve">13.2%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900</t>
    </r>
    <r>
      <rPr>
        <sz val="10"/>
        <rFont val="Noto Sans CJK SC"/>
        <family val="2"/>
      </rPr>
      <t xml:space="preserve">만 기준 환급액이 </t>
    </r>
    <r>
      <rPr>
        <sz val="10"/>
        <rFont val="맑은 고딕"/>
        <family val="0"/>
        <charset val="1"/>
      </rPr>
      <t xml:space="preserve">148.5</t>
    </r>
    <r>
      <rPr>
        <sz val="10"/>
        <rFont val="Noto Sans CJK SC"/>
        <family val="2"/>
      </rPr>
      <t xml:space="preserve">만 ↔ </t>
    </r>
    <r>
      <rPr>
        <sz val="10"/>
        <rFont val="맑은 고딕"/>
        <family val="0"/>
        <charset val="1"/>
      </rPr>
      <t xml:space="preserve">118.8</t>
    </r>
    <r>
      <rPr>
        <sz val="10"/>
        <rFont val="Noto Sans CJK SC"/>
        <family val="2"/>
      </rPr>
      <t xml:space="preserve">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약 </t>
    </r>
    <r>
      <rPr>
        <sz val="10"/>
        <rFont val="맑은 고딕"/>
        <family val="0"/>
        <charset val="1"/>
      </rPr>
      <t xml:space="preserve">30</t>
    </r>
    <r>
      <rPr>
        <sz val="10"/>
        <rFont val="Noto Sans CJK SC"/>
        <family val="2"/>
      </rPr>
      <t xml:space="preserve">만원 차이가 남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</si>
  <si>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성과급으로 경계를 넘나드는 경우 납입연도 전환특례를 활용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특정 연도에 공제받지 못한 납입액을 다음 해 납입분으로 이월 신청할 수 있음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</si>
  <si>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증권사에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연금납입확인서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재발급을 요청하면 처리 가능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경계를 넘겼다고 납입 자체를 줄일 이유는 없으며</t>
    </r>
    <r>
      <rPr>
        <sz val="10"/>
        <rFont val="맑은 고딕"/>
        <family val="0"/>
        <charset val="1"/>
      </rPr>
      <t xml:space="preserve">, 13.2%</t>
    </r>
    <r>
      <rPr>
        <sz val="10"/>
        <rFont val="Noto Sans CJK SC"/>
        <family val="2"/>
      </rPr>
      <t xml:space="preserve">도 여전히 유리함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</si>
  <si>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휴직급여는 비과세이고 근로소득이 급감하여 결정세액이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에 가까워짐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해 연금저축 납입은 환급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원이 되므로 납입을 멈추고 </t>
    </r>
    <r>
      <rPr>
        <sz val="10"/>
        <rFont val="맑은 고딕"/>
        <family val="0"/>
        <charset val="1"/>
      </rPr>
      <t xml:space="preserve">ISA</t>
    </r>
    <r>
      <rPr>
        <sz val="10"/>
        <rFont val="Noto Sans CJK SC"/>
        <family val="2"/>
      </rPr>
      <t xml:space="preserve">로 돌리는 것이 맞음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</si>
  <si>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케이스 </t>
    </r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와 같은 전환특례를 사용하되 실익은 이쪽이 훨씬 큼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휴직 중 납입한 금액을 복직 연도 납입분으로 이월하면 공제를 살릴 수 있음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</si>
  <si>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연금저축은 납입 중단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재개가 자유로우므로 계좌를 해지할 필요는 전혀 없음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자동이체만 정지할 것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</si>
  <si>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퇴직금을 </t>
    </r>
    <r>
      <rPr>
        <sz val="10"/>
        <rFont val="맑은 고딕"/>
        <family val="0"/>
        <charset val="1"/>
      </rPr>
      <t xml:space="preserve">IRP</t>
    </r>
    <r>
      <rPr>
        <sz val="10"/>
        <rFont val="Noto Sans CJK SC"/>
        <family val="2"/>
      </rPr>
      <t xml:space="preserve">로 받아 연금으로 수령하면 퇴직소득세를 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년 이내 </t>
    </r>
    <r>
      <rPr>
        <sz val="10"/>
        <rFont val="맑은 고딕"/>
        <family val="0"/>
        <charset val="1"/>
      </rPr>
      <t xml:space="preserve">30%, 10</t>
    </r>
    <r>
      <rPr>
        <sz val="10"/>
        <rFont val="Noto Sans CJK SC"/>
        <family val="2"/>
      </rPr>
      <t xml:space="preserve">년 초과 </t>
    </r>
    <r>
      <rPr>
        <sz val="10"/>
        <rFont val="맑은 고딕"/>
        <family val="0"/>
        <charset val="1"/>
      </rPr>
      <t xml:space="preserve">40% </t>
    </r>
    <r>
      <rPr>
        <sz val="10"/>
        <rFont val="Noto Sans CJK SC"/>
        <family val="2"/>
      </rPr>
      <t xml:space="preserve">감면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일시금으로 수령하면 이 감면이 전부 소멸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</si>
  <si>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가장 중요한 실무 포인트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퇴직금 재원과 자기부담금을 같은 </t>
    </r>
    <r>
      <rPr>
        <sz val="10"/>
        <rFont val="맑은 고딕"/>
        <family val="0"/>
        <charset val="1"/>
      </rPr>
      <t xml:space="preserve">IRP</t>
    </r>
    <r>
      <rPr>
        <sz val="10"/>
        <rFont val="Noto Sans CJK SC"/>
        <family val="2"/>
      </rPr>
      <t xml:space="preserve">에 섞으면 부분 인출이 불가능해짐</t>
    </r>
    <r>
      <rPr>
        <sz val="10"/>
        <rFont val="맑은 고딕"/>
        <family val="0"/>
        <charset val="1"/>
      </rPr>
      <t xml:space="preserve">. IRP</t>
    </r>
    <r>
      <rPr>
        <sz val="10"/>
        <rFont val="Noto Sans CJK SC"/>
        <family val="2"/>
      </rPr>
      <t xml:space="preserve">는 법정사유 외 전액 해지만 되므로 자기부담금 </t>
    </r>
    <r>
      <rPr>
        <sz val="10"/>
        <rFont val="맑은 고딕"/>
        <family val="0"/>
        <charset val="1"/>
      </rPr>
      <t xml:space="preserve">300</t>
    </r>
    <r>
      <rPr>
        <sz val="10"/>
        <rFont val="Noto Sans CJK SC"/>
        <family val="2"/>
      </rPr>
      <t xml:space="preserve">만을 빼려다 퇴직금 전체가 딸려 나오며 감면이 소멸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</si>
  <si>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퇴직금 수령용 </t>
    </r>
    <r>
      <rPr>
        <sz val="10"/>
        <rFont val="맑은 고딕"/>
        <family val="0"/>
        <charset val="1"/>
      </rPr>
      <t xml:space="preserve">IRP</t>
    </r>
    <r>
      <rPr>
        <sz val="10"/>
        <rFont val="Noto Sans CJK SC"/>
        <family val="2"/>
      </rPr>
      <t xml:space="preserve">와 세액공제용 </t>
    </r>
    <r>
      <rPr>
        <sz val="10"/>
        <rFont val="맑은 고딕"/>
        <family val="0"/>
        <charset val="1"/>
      </rPr>
      <t xml:space="preserve">IRP</t>
    </r>
    <r>
      <rPr>
        <sz val="10"/>
        <rFont val="Noto Sans CJK SC"/>
        <family val="2"/>
      </rPr>
      <t xml:space="preserve">를 반드시 별도 계좌로 분리할 것</t>
    </r>
    <r>
      <rPr>
        <sz val="10"/>
        <rFont val="맑은 고딕"/>
        <family val="0"/>
        <charset val="1"/>
      </rPr>
      <t xml:space="preserve">. IRP </t>
    </r>
    <r>
      <rPr>
        <sz val="10"/>
        <rFont val="Noto Sans CJK SC"/>
        <family val="2"/>
      </rPr>
      <t xml:space="preserve">계좌 개수 제한은 없음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퇴직금 유입으로 </t>
    </r>
    <r>
      <rPr>
        <sz val="10"/>
        <rFont val="맑은 고딕"/>
        <family val="0"/>
        <charset val="1"/>
      </rPr>
      <t xml:space="preserve">1,500</t>
    </r>
    <r>
      <rPr>
        <sz val="10"/>
        <rFont val="Noto Sans CJK SC"/>
        <family val="2"/>
      </rPr>
      <t xml:space="preserve">만 한도가 압박받으므로 안세공 대신 </t>
    </r>
    <r>
      <rPr>
        <sz val="10"/>
        <rFont val="맑은 고딕"/>
        <family val="0"/>
        <charset val="1"/>
      </rPr>
      <t xml:space="preserve">ISA</t>
    </r>
    <r>
      <rPr>
        <sz val="10"/>
        <rFont val="Noto Sans CJK SC"/>
        <family val="2"/>
      </rPr>
      <t xml:space="preserve">를 채움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</si>
  <si>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4"/>
        <color rgb="FF1F3864"/>
        <rFont val="Noto Sans CJK SC"/>
        <family val="2"/>
      </rPr>
      <t xml:space="preserve">적용 제도 기준값 </t>
    </r>
    <r>
      <rPr>
        <b val="true"/>
        <sz val="14"/>
        <color rgb="FF1F3864"/>
        <rFont val="맑은 고딕"/>
        <family val="0"/>
        <charset val="1"/>
      </rPr>
      <t xml:space="preserve">(2026</t>
    </r>
    <r>
      <rPr>
        <b val="true"/>
        <sz val="14"/>
        <color rgb="FF1F3864"/>
        <rFont val="Noto Sans CJK SC"/>
        <family val="2"/>
      </rPr>
      <t xml:space="preserve">년 기준</t>
    </r>
    <r>
      <rPr>
        <b val="true"/>
        <sz val="14"/>
        <color rgb="FF1F3864"/>
        <rFont val="맑은 고딕"/>
        <family val="0"/>
        <charset val="1"/>
      </rPr>
      <t xml:space="preserve">)</t>
    </r>
  </si>
  <si>
    <r>
      <rPr>
        <i val="true"/>
        <sz val="9"/>
        <color rgb="FF808080"/>
        <rFont val="Noto Sans CJK SC"/>
        <family val="2"/>
      </rPr>
      <t xml:space="preserve">아래 값은 배분표 계산의 근거</t>
    </r>
    <r>
      <rPr>
        <i val="true"/>
        <sz val="9"/>
        <color rgb="FF808080"/>
        <rFont val="맑은 고딕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세법 개정 시 이 시트만 갱신하면 전체 재검토 가능</t>
    </r>
    <r>
      <rPr>
        <i val="true"/>
        <sz val="9"/>
        <color rgb="FF808080"/>
        <rFont val="맑은 고딕"/>
        <family val="0"/>
        <charset val="1"/>
      </rPr>
      <t xml:space="preserve">.</t>
    </r>
  </si>
  <si>
    <t xml:space="preserve">구분</t>
  </si>
  <si>
    <t xml:space="preserve">항목</t>
  </si>
  <si>
    <t xml:space="preserve">값</t>
  </si>
  <si>
    <t xml:space="preserve">비고</t>
  </si>
  <si>
    <t xml:space="preserve">근거</t>
  </si>
  <si>
    <t xml:space="preserve">연간 납입한도</t>
  </si>
  <si>
    <r>
      <rPr>
        <sz val="10"/>
        <rFont val="맑은 고딕"/>
        <family val="0"/>
        <charset val="1"/>
      </rPr>
      <t xml:space="preserve">1,800</t>
    </r>
    <r>
      <rPr>
        <sz val="10"/>
        <rFont val="Noto Sans CJK SC"/>
        <family val="2"/>
      </rPr>
      <t xml:space="preserve">만원</t>
    </r>
  </si>
  <si>
    <r>
      <rPr>
        <sz val="10"/>
        <rFont val="맑은 고딕"/>
        <family val="0"/>
        <charset val="1"/>
      </rPr>
      <t xml:space="preserve">IRP</t>
    </r>
    <r>
      <rPr>
        <sz val="10"/>
        <rFont val="Noto Sans CJK SC"/>
        <family val="2"/>
      </rPr>
      <t xml:space="preserve">와 합산</t>
    </r>
  </si>
  <si>
    <t xml:space="preserve">소득세법</t>
  </si>
  <si>
    <t xml:space="preserve">세액공제 한도</t>
  </si>
  <si>
    <r>
      <rPr>
        <sz val="10"/>
        <rFont val="맑은 고딕"/>
        <family val="0"/>
        <charset val="1"/>
      </rPr>
      <t xml:space="preserve">600</t>
    </r>
    <r>
      <rPr>
        <sz val="10"/>
        <rFont val="Noto Sans CJK SC"/>
        <family val="2"/>
      </rPr>
      <t xml:space="preserve">만원</t>
    </r>
  </si>
  <si>
    <t xml:space="preserve">단독 기준</t>
  </si>
  <si>
    <r>
      <rPr>
        <sz val="10"/>
        <rFont val="Noto Sans CJK SC"/>
        <family val="2"/>
      </rPr>
      <t xml:space="preserve">소득세법 </t>
    </r>
    <r>
      <rPr>
        <sz val="10"/>
        <rFont val="맑은 고딕"/>
        <family val="0"/>
        <charset val="1"/>
      </rPr>
      <t xml:space="preserve">§59-3</t>
    </r>
  </si>
  <si>
    <t xml:space="preserve">가입 자격</t>
  </si>
  <si>
    <t xml:space="preserve">제한 없음</t>
  </si>
  <si>
    <r>
      <rPr>
        <sz val="10"/>
        <rFont val="Noto Sans CJK SC"/>
        <family val="2"/>
      </rPr>
      <t xml:space="preserve">나이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소득 무관</t>
    </r>
  </si>
  <si>
    <t xml:space="preserve">투자 제한</t>
  </si>
  <si>
    <r>
      <rPr>
        <sz val="10"/>
        <rFont val="Noto Sans CJK SC"/>
        <family val="2"/>
      </rPr>
      <t xml:space="preserve">펀드</t>
    </r>
    <r>
      <rPr>
        <sz val="10"/>
        <rFont val="맑은 고딕"/>
        <family val="0"/>
        <charset val="1"/>
      </rPr>
      <t xml:space="preserve">·ETF</t>
    </r>
    <r>
      <rPr>
        <sz val="10"/>
        <rFont val="Noto Sans CJK SC"/>
        <family val="2"/>
      </rPr>
      <t xml:space="preserve">만</t>
    </r>
  </si>
  <si>
    <r>
      <rPr>
        <sz val="10"/>
        <rFont val="Noto Sans CJK SC"/>
        <family val="2"/>
      </rPr>
      <t xml:space="preserve">개별주식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레버리지 불가</t>
    </r>
  </si>
  <si>
    <t xml:space="preserve">안세공 원금 인출</t>
  </si>
  <si>
    <r>
      <rPr>
        <sz val="10"/>
        <rFont val="Noto Sans CJK SC"/>
        <family val="2"/>
      </rPr>
      <t xml:space="preserve">자유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무과세</t>
    </r>
  </si>
  <si>
    <t xml:space="preserve">과세제외금액 최우선 인출</t>
  </si>
  <si>
    <t xml:space="preserve">소득세법 시행령</t>
  </si>
  <si>
    <r>
      <rPr>
        <sz val="10"/>
        <rFont val="맑은 고딕"/>
        <family val="0"/>
        <charset val="1"/>
      </rPr>
      <t xml:space="preserve">900</t>
    </r>
    <r>
      <rPr>
        <sz val="10"/>
        <rFont val="Noto Sans CJK SC"/>
        <family val="2"/>
      </rPr>
      <t xml:space="preserve">만원</t>
    </r>
  </si>
  <si>
    <t xml:space="preserve">연금저축 포함 합산</t>
  </si>
  <si>
    <t xml:space="preserve">소득 있는 자</t>
  </si>
  <si>
    <t xml:space="preserve">무소득자 가입 불가</t>
  </si>
  <si>
    <t xml:space="preserve">근로자퇴직급여보장법</t>
  </si>
  <si>
    <t xml:space="preserve">위험자산 한도</t>
  </si>
  <si>
    <t xml:space="preserve">70%</t>
  </si>
  <si>
    <r>
      <rPr>
        <sz val="10"/>
        <rFont val="Noto Sans CJK SC"/>
        <family val="2"/>
      </rPr>
      <t xml:space="preserve">나머지 </t>
    </r>
    <r>
      <rPr>
        <sz val="10"/>
        <rFont val="맑은 고딕"/>
        <family val="0"/>
        <charset val="1"/>
      </rPr>
      <t xml:space="preserve">30% </t>
    </r>
    <r>
      <rPr>
        <sz val="10"/>
        <rFont val="Noto Sans CJK SC"/>
        <family val="2"/>
      </rPr>
      <t xml:space="preserve">안전자산</t>
    </r>
  </si>
  <si>
    <t xml:space="preserve">근퇴법 시행규칙</t>
  </si>
  <si>
    <t xml:space="preserve">중도인출</t>
  </si>
  <si>
    <t xml:space="preserve">법정사유만</t>
  </si>
  <si>
    <t xml:space="preserve">부분인출 원칙 불가</t>
  </si>
  <si>
    <r>
      <rPr>
        <sz val="10"/>
        <rFont val="Noto Sans CJK SC"/>
        <family val="2"/>
      </rPr>
      <t xml:space="preserve">근퇴법 </t>
    </r>
    <r>
      <rPr>
        <sz val="10"/>
        <rFont val="맑은 고딕"/>
        <family val="0"/>
        <charset val="1"/>
      </rPr>
      <t xml:space="preserve">§24</t>
    </r>
  </si>
  <si>
    <t xml:space="preserve">퇴직소득세 감면</t>
  </si>
  <si>
    <t xml:space="preserve">30% / 40%</t>
  </si>
  <si>
    <r>
      <rPr>
        <sz val="10"/>
        <rFont val="Noto Sans CJK SC"/>
        <family val="2"/>
      </rPr>
      <t xml:space="preserve">연금수령 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년 이내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초과</t>
    </r>
  </si>
  <si>
    <t xml:space="preserve">공통</t>
  </si>
  <si>
    <r>
      <rPr>
        <sz val="10"/>
        <rFont val="Noto Sans CJK SC"/>
        <family val="2"/>
      </rPr>
      <t xml:space="preserve">공제율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총급여 </t>
    </r>
    <r>
      <rPr>
        <sz val="10"/>
        <rFont val="맑은 고딕"/>
        <family val="0"/>
        <charset val="1"/>
      </rPr>
      <t xml:space="preserve">5,500</t>
    </r>
    <r>
      <rPr>
        <sz val="10"/>
        <rFont val="Noto Sans CJK SC"/>
        <family val="2"/>
      </rPr>
      <t xml:space="preserve">만 이하</t>
    </r>
    <r>
      <rPr>
        <sz val="10"/>
        <rFont val="맑은 고딕"/>
        <family val="0"/>
        <charset val="1"/>
      </rPr>
      <t xml:space="preserve">)</t>
    </r>
  </si>
  <si>
    <t xml:space="preserve">16.5%</t>
  </si>
  <si>
    <r>
      <rPr>
        <sz val="10"/>
        <rFont val="Noto Sans CJK SC"/>
        <family val="2"/>
      </rPr>
      <t xml:space="preserve">종합소득 </t>
    </r>
    <r>
      <rPr>
        <sz val="10"/>
        <rFont val="맑은 고딕"/>
        <family val="0"/>
        <charset val="1"/>
      </rPr>
      <t xml:space="preserve">4,500</t>
    </r>
    <r>
      <rPr>
        <sz val="10"/>
        <rFont val="Noto Sans CJK SC"/>
        <family val="2"/>
      </rPr>
      <t xml:space="preserve">만 이하</t>
    </r>
  </si>
  <si>
    <t xml:space="preserve">지방소득세 포함</t>
  </si>
  <si>
    <r>
      <rPr>
        <sz val="10"/>
        <rFont val="Noto Sans CJK SC"/>
        <family val="2"/>
      </rPr>
      <t xml:space="preserve">공제율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총급여 </t>
    </r>
    <r>
      <rPr>
        <sz val="10"/>
        <rFont val="맑은 고딕"/>
        <family val="0"/>
        <charset val="1"/>
      </rPr>
      <t xml:space="preserve">5,500</t>
    </r>
    <r>
      <rPr>
        <sz val="10"/>
        <rFont val="Noto Sans CJK SC"/>
        <family val="2"/>
      </rPr>
      <t xml:space="preserve">만 초과</t>
    </r>
    <r>
      <rPr>
        <sz val="10"/>
        <rFont val="맑은 고딕"/>
        <family val="0"/>
        <charset val="1"/>
      </rPr>
      <t xml:space="preserve">)</t>
    </r>
  </si>
  <si>
    <t xml:space="preserve">13.2%</t>
  </si>
  <si>
    <r>
      <rPr>
        <sz val="10"/>
        <rFont val="Noto Sans CJK SC"/>
        <family val="2"/>
      </rPr>
      <t xml:space="preserve">종합소득 </t>
    </r>
    <r>
      <rPr>
        <sz val="10"/>
        <rFont val="맑은 고딕"/>
        <family val="0"/>
        <charset val="1"/>
      </rPr>
      <t xml:space="preserve">4,500</t>
    </r>
    <r>
      <rPr>
        <sz val="10"/>
        <rFont val="Noto Sans CJK SC"/>
        <family val="2"/>
      </rPr>
      <t xml:space="preserve">만 초과</t>
    </r>
  </si>
  <si>
    <t xml:space="preserve">연금소득세</t>
  </si>
  <si>
    <t xml:space="preserve">3.3~5.5%</t>
  </si>
  <si>
    <r>
      <rPr>
        <sz val="10"/>
        <rFont val="맑은 고딕"/>
        <family val="0"/>
        <charset val="1"/>
      </rPr>
      <t xml:space="preserve">55~69</t>
    </r>
    <r>
      <rPr>
        <sz val="10"/>
        <rFont val="Noto Sans CJK SC"/>
        <family val="2"/>
      </rPr>
      <t xml:space="preserve">세 </t>
    </r>
    <r>
      <rPr>
        <sz val="10"/>
        <rFont val="맑은 고딕"/>
        <family val="0"/>
        <charset val="1"/>
      </rPr>
      <t xml:space="preserve">5.5% / 70</t>
    </r>
    <r>
      <rPr>
        <sz val="10"/>
        <rFont val="Noto Sans CJK SC"/>
        <family val="2"/>
      </rPr>
      <t xml:space="preserve">대 </t>
    </r>
    <r>
      <rPr>
        <sz val="10"/>
        <rFont val="맑은 고딕"/>
        <family val="0"/>
        <charset val="1"/>
      </rPr>
      <t xml:space="preserve">4.4% / 80</t>
    </r>
    <r>
      <rPr>
        <sz val="10"/>
        <rFont val="Noto Sans CJK SC"/>
        <family val="2"/>
      </rPr>
      <t xml:space="preserve">세↑ </t>
    </r>
    <r>
      <rPr>
        <sz val="10"/>
        <rFont val="맑은 고딕"/>
        <family val="0"/>
        <charset val="1"/>
      </rPr>
      <t xml:space="preserve">3.3%</t>
    </r>
  </si>
  <si>
    <t xml:space="preserve">연금소득 종합과세 기준</t>
  </si>
  <si>
    <r>
      <rPr>
        <sz val="10"/>
        <rFont val="Noto Sans CJK SC"/>
        <family val="2"/>
      </rPr>
      <t xml:space="preserve">연 </t>
    </r>
    <r>
      <rPr>
        <sz val="10"/>
        <rFont val="맑은 고딕"/>
        <family val="0"/>
        <charset val="1"/>
      </rPr>
      <t xml:space="preserve">1,500</t>
    </r>
    <r>
      <rPr>
        <sz val="10"/>
        <rFont val="Noto Sans CJK SC"/>
        <family val="2"/>
      </rPr>
      <t xml:space="preserve">만원</t>
    </r>
  </si>
  <si>
    <r>
      <rPr>
        <sz val="10"/>
        <rFont val="Noto Sans CJK SC"/>
        <family val="2"/>
      </rPr>
      <t xml:space="preserve">초과 시 </t>
    </r>
    <r>
      <rPr>
        <sz val="10"/>
        <rFont val="맑은 고딕"/>
        <family val="0"/>
        <charset val="1"/>
      </rPr>
      <t xml:space="preserve">16.5% </t>
    </r>
    <r>
      <rPr>
        <sz val="10"/>
        <rFont val="Noto Sans CJK SC"/>
        <family val="2"/>
      </rPr>
      <t xml:space="preserve">분리과세 또는 종합과세 선택</t>
    </r>
  </si>
  <si>
    <t xml:space="preserve">중도해지 기타소득세</t>
  </si>
  <si>
    <r>
      <rPr>
        <sz val="10"/>
        <rFont val="Noto Sans CJK SC"/>
        <family val="2"/>
      </rPr>
      <t xml:space="preserve">세액공제분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운용수익 전액</t>
    </r>
  </si>
  <si>
    <t xml:space="preserve">건강보험료</t>
  </si>
  <si>
    <t xml:space="preserve">부과 안 됨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</si>
  <si>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대 공적연금에만 부과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퇴직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개인연금 제외</t>
    </r>
  </si>
  <si>
    <t xml:space="preserve">국민건강보험법</t>
  </si>
  <si>
    <r>
      <rPr>
        <sz val="10"/>
        <rFont val="맑은 고딕"/>
        <family val="0"/>
        <charset val="1"/>
      </rPr>
      <t xml:space="preserve">2,000</t>
    </r>
    <r>
      <rPr>
        <sz val="10"/>
        <rFont val="Noto Sans CJK SC"/>
        <family val="2"/>
      </rPr>
      <t xml:space="preserve">만원</t>
    </r>
  </si>
  <si>
    <r>
      <rPr>
        <sz val="10"/>
        <rFont val="Noto Sans CJK SC"/>
        <family val="2"/>
      </rPr>
      <t xml:space="preserve">미납분 이월 가능 </t>
    </r>
    <r>
      <rPr>
        <sz val="10"/>
        <rFont val="맑은 고딕"/>
        <family val="0"/>
        <charset val="1"/>
      </rPr>
      <t xml:space="preserve">(2026</t>
    </r>
    <r>
      <rPr>
        <sz val="10"/>
        <rFont val="Noto Sans CJK SC"/>
        <family val="2"/>
      </rPr>
      <t xml:space="preserve">년까지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</si>
  <si>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조특법 </t>
    </r>
    <r>
      <rPr>
        <sz val="10"/>
        <rFont val="맑은 고딕"/>
        <family val="0"/>
        <charset val="1"/>
      </rPr>
      <t xml:space="preserve">§91-18</t>
    </r>
  </si>
  <si>
    <t xml:space="preserve">총 납입한도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</si>
  <si>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억원</t>
    </r>
  </si>
  <si>
    <t xml:space="preserve">비과세 한도</t>
  </si>
  <si>
    <r>
      <rPr>
        <sz val="10"/>
        <rFont val="맑은 고딕"/>
        <family val="0"/>
        <charset val="1"/>
      </rPr>
      <t xml:space="preserve">200</t>
    </r>
    <r>
      <rPr>
        <sz val="10"/>
        <rFont val="Noto Sans CJK SC"/>
        <family val="2"/>
      </rPr>
      <t xml:space="preserve">만원</t>
    </r>
  </si>
  <si>
    <r>
      <rPr>
        <sz val="10"/>
        <rFont val="Noto Sans CJK SC"/>
        <family val="2"/>
      </rPr>
      <t xml:space="preserve">서민형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농어민형 </t>
    </r>
    <r>
      <rPr>
        <sz val="10"/>
        <rFont val="맑은 고딕"/>
        <family val="0"/>
        <charset val="1"/>
      </rPr>
      <t xml:space="preserve">400</t>
    </r>
    <r>
      <rPr>
        <sz val="10"/>
        <rFont val="Noto Sans CJK SC"/>
        <family val="2"/>
      </rPr>
      <t xml:space="preserve">만원</t>
    </r>
  </si>
  <si>
    <t xml:space="preserve">조특법</t>
  </si>
  <si>
    <t xml:space="preserve">초과분 세율</t>
  </si>
  <si>
    <t xml:space="preserve">9.9%</t>
  </si>
  <si>
    <r>
      <rPr>
        <sz val="10"/>
        <rFont val="Noto Sans CJK SC"/>
        <family val="2"/>
      </rPr>
      <t xml:space="preserve">분리과세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손익통산 적용</t>
    </r>
  </si>
  <si>
    <t xml:space="preserve">의무 보유기간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</si>
  <si>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년</t>
    </r>
  </si>
  <si>
    <r>
      <rPr>
        <sz val="10"/>
        <rFont val="Noto Sans CJK SC"/>
        <family val="2"/>
      </rPr>
      <t xml:space="preserve">원금은 중도인출 자유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중개형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</si>
  <si>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19</t>
    </r>
    <r>
      <rPr>
        <sz val="10"/>
        <rFont val="Noto Sans CJK SC"/>
        <family val="2"/>
      </rPr>
      <t xml:space="preserve">세 이상 거주자</t>
    </r>
  </si>
  <si>
    <r>
      <rPr>
        <sz val="10"/>
        <rFont val="Noto Sans CJK SC"/>
        <family val="2"/>
      </rPr>
      <t xml:space="preserve">직전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년 중 금융소득종합과세 대상자 배제</t>
    </r>
  </si>
  <si>
    <t xml:space="preserve">연금계좌 전환</t>
  </si>
  <si>
    <r>
      <rPr>
        <sz val="10"/>
        <rFont val="Noto Sans CJK SC"/>
        <family val="2"/>
      </rPr>
      <t xml:space="preserve">전환액의 </t>
    </r>
    <r>
      <rPr>
        <sz val="10"/>
        <rFont val="맑은 고딕"/>
        <family val="0"/>
        <charset val="1"/>
      </rPr>
      <t xml:space="preserve">10%</t>
    </r>
  </si>
  <si>
    <r>
      <rPr>
        <sz val="10"/>
        <rFont val="Noto Sans CJK SC"/>
        <family val="2"/>
      </rPr>
      <t xml:space="preserve">최대 </t>
    </r>
    <r>
      <rPr>
        <sz val="10"/>
        <rFont val="맑은 고딕"/>
        <family val="0"/>
        <charset val="1"/>
      </rPr>
      <t xml:space="preserve">300</t>
    </r>
    <r>
      <rPr>
        <sz val="10"/>
        <rFont val="Noto Sans CJK SC"/>
        <family val="2"/>
      </rPr>
      <t xml:space="preserve">만원 추가 세액공제</t>
    </r>
  </si>
  <si>
    <r>
      <rPr>
        <sz val="10"/>
        <rFont val="맑은 고딕"/>
        <family val="0"/>
        <charset val="1"/>
      </rPr>
      <t xml:space="preserve">2027</t>
    </r>
    <r>
      <rPr>
        <sz val="10"/>
        <rFont val="Noto Sans CJK SC"/>
        <family val="2"/>
      </rPr>
      <t xml:space="preserve">년 변경 예정</t>
    </r>
  </si>
  <si>
    <r>
      <rPr>
        <sz val="10"/>
        <rFont val="Noto Sans CJK SC"/>
        <family val="2"/>
      </rPr>
      <t xml:space="preserve">계약기간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 제한</t>
    </r>
  </si>
  <si>
    <r>
      <rPr>
        <sz val="10"/>
        <rFont val="Noto Sans CJK SC"/>
        <family val="2"/>
      </rPr>
      <t xml:space="preserve">한도 이월 폐지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기존 가입분 소급 적용</t>
    </r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</si>
  <si>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세제개편안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정부안</t>
    </r>
    <r>
      <rPr>
        <sz val="10"/>
        <rFont val="맑은 고딕"/>
        <family val="0"/>
        <charset val="1"/>
      </rPr>
      <t xml:space="preserve">)</t>
    </r>
  </si>
  <si>
    <t xml:space="preserve">노란우산</t>
  </si>
  <si>
    <r>
      <rPr>
        <sz val="10"/>
        <rFont val="Noto Sans CJK SC"/>
        <family val="2"/>
      </rPr>
      <t xml:space="preserve">소득공제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사업소득 </t>
    </r>
    <r>
      <rPr>
        <sz val="10"/>
        <rFont val="맑은 고딕"/>
        <family val="0"/>
        <charset val="1"/>
      </rPr>
      <t xml:space="preserve">4,000</t>
    </r>
    <r>
      <rPr>
        <sz val="10"/>
        <rFont val="Noto Sans CJK SC"/>
        <family val="2"/>
      </rPr>
      <t xml:space="preserve">만 이하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</si>
  <si>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500</t>
    </r>
    <r>
      <rPr>
        <sz val="10"/>
        <rFont val="Noto Sans CJK SC"/>
        <family val="2"/>
      </rPr>
      <t xml:space="preserve">만→</t>
    </r>
    <r>
      <rPr>
        <sz val="10"/>
        <rFont val="맑은 고딕"/>
        <family val="0"/>
        <charset val="1"/>
      </rPr>
      <t xml:space="preserve">600</t>
    </r>
    <r>
      <rPr>
        <sz val="10"/>
        <rFont val="Noto Sans CJK SC"/>
        <family val="2"/>
      </rPr>
      <t xml:space="preserve">만 상향</t>
    </r>
  </si>
  <si>
    <r>
      <rPr>
        <sz val="10"/>
        <rFont val="Noto Sans CJK SC"/>
        <family val="2"/>
      </rPr>
      <t xml:space="preserve">조특법 </t>
    </r>
    <r>
      <rPr>
        <sz val="10"/>
        <rFont val="맑은 고딕"/>
        <family val="0"/>
        <charset val="1"/>
      </rPr>
      <t xml:space="preserve">§86-3</t>
    </r>
  </si>
  <si>
    <r>
      <rPr>
        <sz val="10"/>
        <rFont val="Noto Sans CJK SC"/>
        <family val="2"/>
      </rPr>
      <t xml:space="preserve">소득공제 </t>
    </r>
    <r>
      <rPr>
        <sz val="10"/>
        <rFont val="맑은 고딕"/>
        <family val="0"/>
        <charset val="1"/>
      </rPr>
      <t xml:space="preserve">(4,000</t>
    </r>
    <r>
      <rPr>
        <sz val="10"/>
        <rFont val="Noto Sans CJK SC"/>
        <family val="2"/>
      </rPr>
      <t xml:space="preserve">만</t>
    </r>
    <r>
      <rPr>
        <sz val="10"/>
        <rFont val="맑은 고딕"/>
        <family val="0"/>
        <charset val="1"/>
      </rPr>
      <t xml:space="preserve">~1</t>
    </r>
    <r>
      <rPr>
        <sz val="10"/>
        <rFont val="Noto Sans CJK SC"/>
        <family val="2"/>
      </rPr>
      <t xml:space="preserve">억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</si>
  <si>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400</t>
    </r>
    <r>
      <rPr>
        <sz val="10"/>
        <rFont val="Noto Sans CJK SC"/>
        <family val="2"/>
      </rPr>
      <t xml:space="preserve">만원</t>
    </r>
  </si>
  <si>
    <r>
      <rPr>
        <sz val="10"/>
        <rFont val="맑은 고딕"/>
        <family val="0"/>
        <charset val="1"/>
      </rPr>
      <t xml:space="preserve"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300</t>
    </r>
    <r>
      <rPr>
        <sz val="10"/>
        <rFont val="Noto Sans CJK SC"/>
        <family val="2"/>
      </rPr>
      <t xml:space="preserve">만→</t>
    </r>
    <r>
      <rPr>
        <sz val="10"/>
        <rFont val="맑은 고딕"/>
        <family val="0"/>
        <charset val="1"/>
      </rPr>
      <t xml:space="preserve">400</t>
    </r>
    <r>
      <rPr>
        <sz val="10"/>
        <rFont val="Noto Sans CJK SC"/>
        <family val="2"/>
      </rPr>
      <t xml:space="preserve">만 상향</t>
    </r>
  </si>
  <si>
    <r>
      <rPr>
        <sz val="10"/>
        <rFont val="Noto Sans CJK SC"/>
        <family val="2"/>
      </rPr>
      <t xml:space="preserve">소득공제 </t>
    </r>
    <r>
      <rPr>
        <sz val="10"/>
        <rFont val="맑은 고딕"/>
        <family val="0"/>
        <charset val="1"/>
      </rPr>
      <t xml:space="preserve">(1</t>
    </r>
    <r>
      <rPr>
        <sz val="10"/>
        <rFont val="Noto Sans CJK SC"/>
        <family val="2"/>
      </rPr>
      <t xml:space="preserve">억 초과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</si>
  <si>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1,200</t>
    </r>
    <r>
      <rPr>
        <sz val="10"/>
        <rFont val="Noto Sans CJK SC"/>
        <family val="2"/>
      </rPr>
      <t xml:space="preserve">만→</t>
    </r>
    <r>
      <rPr>
        <sz val="10"/>
        <rFont val="맑은 고딕"/>
        <family val="0"/>
        <charset val="1"/>
      </rPr>
      <t xml:space="preserve">1,800</t>
    </r>
    <r>
      <rPr>
        <sz val="10"/>
        <rFont val="Noto Sans CJK SC"/>
        <family val="2"/>
      </rPr>
      <t xml:space="preserve">만</t>
    </r>
    <r>
      <rPr>
        <sz val="10"/>
        <rFont val="맑은 고딕"/>
        <family val="0"/>
        <charset val="1"/>
      </rPr>
      <t xml:space="preserve">, 50</t>
    </r>
    <r>
      <rPr>
        <sz val="10"/>
        <rFont val="Noto Sans CJK SC"/>
        <family val="2"/>
      </rPr>
      <t xml:space="preserve">개월 한도 폐지</t>
    </r>
  </si>
  <si>
    <r>
      <rPr>
        <sz val="10"/>
        <rFont val="Noto Sans CJK SC"/>
        <family val="2"/>
      </rPr>
      <t xml:space="preserve">조특법</t>
    </r>
    <r>
      <rPr>
        <sz val="10"/>
        <rFont val="맑은 고딕"/>
        <family val="0"/>
        <charset val="1"/>
      </rPr>
      <t xml:space="preserve">(2025.3.14 </t>
    </r>
    <r>
      <rPr>
        <sz val="10"/>
        <rFont val="Noto Sans CJK SC"/>
        <family val="2"/>
      </rPr>
      <t xml:space="preserve">개정</t>
    </r>
    <r>
      <rPr>
        <sz val="10"/>
        <rFont val="맑은 고딕"/>
        <family val="0"/>
        <charset val="1"/>
      </rPr>
      <t xml:space="preserve">)</t>
    </r>
  </si>
  <si>
    <t xml:space="preserve">주택청약</t>
  </si>
  <si>
    <t xml:space="preserve">소득공제 한도</t>
  </si>
  <si>
    <r>
      <rPr>
        <sz val="10"/>
        <rFont val="맑은 고딕"/>
        <family val="0"/>
        <charset val="1"/>
      </rPr>
      <t xml:space="preserve">300</t>
    </r>
    <r>
      <rPr>
        <sz val="10"/>
        <rFont val="Noto Sans CJK SC"/>
        <family val="2"/>
      </rPr>
      <t xml:space="preserve">만원</t>
    </r>
  </si>
  <si>
    <r>
      <rPr>
        <sz val="10"/>
        <rFont val="Noto Sans CJK SC"/>
        <family val="2"/>
      </rPr>
      <t xml:space="preserve">납입액의 </t>
    </r>
    <r>
      <rPr>
        <sz val="10"/>
        <rFont val="맑은 고딕"/>
        <family val="0"/>
        <charset val="1"/>
      </rPr>
      <t xml:space="preserve">40%, </t>
    </r>
    <r>
      <rPr>
        <sz val="10"/>
        <rFont val="Noto Sans CJK SC"/>
        <family val="2"/>
      </rPr>
      <t xml:space="preserve">최대 </t>
    </r>
    <r>
      <rPr>
        <sz val="10"/>
        <rFont val="맑은 고딕"/>
        <family val="0"/>
        <charset val="1"/>
      </rPr>
      <t xml:space="preserve">120</t>
    </r>
    <r>
      <rPr>
        <sz val="10"/>
        <rFont val="Noto Sans CJK SC"/>
        <family val="2"/>
      </rPr>
      <t xml:space="preserve">만원 공제</t>
    </r>
  </si>
  <si>
    <r>
      <rPr>
        <sz val="10"/>
        <rFont val="Noto Sans CJK SC"/>
        <family val="2"/>
      </rPr>
      <t xml:space="preserve">조특법 </t>
    </r>
    <r>
      <rPr>
        <sz val="10"/>
        <rFont val="맑은 고딕"/>
        <family val="0"/>
        <charset val="1"/>
      </rPr>
      <t xml:space="preserve">§87</t>
    </r>
  </si>
  <si>
    <t xml:space="preserve">적용 요건</t>
  </si>
  <si>
    <t xml:space="preserve">무주택 세대주</t>
  </si>
  <si>
    <r>
      <rPr>
        <sz val="10"/>
        <rFont val="Noto Sans CJK SC"/>
        <family val="2"/>
      </rPr>
      <t xml:space="preserve">총급여 </t>
    </r>
    <r>
      <rPr>
        <sz val="10"/>
        <rFont val="맑은 고딕"/>
        <family val="0"/>
        <charset val="1"/>
      </rPr>
      <t xml:space="preserve">7,000</t>
    </r>
    <r>
      <rPr>
        <sz val="10"/>
        <rFont val="Noto Sans CJK SC"/>
        <family val="2"/>
      </rPr>
      <t xml:space="preserve">만원 이하</t>
    </r>
  </si>
  <si>
    <t xml:space="preserve">해외주식</t>
  </si>
  <si>
    <t xml:space="preserve">양도소득세</t>
  </si>
  <si>
    <t xml:space="preserve">22%</t>
  </si>
  <si>
    <r>
      <rPr>
        <sz val="10"/>
        <rFont val="Noto Sans CJK SC"/>
        <family val="2"/>
      </rPr>
      <t xml:space="preserve">연 </t>
    </r>
    <r>
      <rPr>
        <sz val="10"/>
        <rFont val="맑은 고딕"/>
        <family val="0"/>
        <charset val="1"/>
      </rPr>
      <t xml:space="preserve">250</t>
    </r>
    <r>
      <rPr>
        <sz val="10"/>
        <rFont val="Noto Sans CJK SC"/>
        <family val="2"/>
      </rPr>
      <t xml:space="preserve">만원 기본공제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미사용분 소멸</t>
    </r>
  </si>
  <si>
    <t xml:space="preserve">증여</t>
  </si>
  <si>
    <t xml:space="preserve">미성년 자녀 공제</t>
  </si>
  <si>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년 합산 기준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성년 </t>
    </r>
    <r>
      <rPr>
        <sz val="10"/>
        <rFont val="맑은 고딕"/>
        <family val="0"/>
        <charset val="1"/>
      </rPr>
      <t xml:space="preserve">5,000</t>
    </r>
    <r>
      <rPr>
        <sz val="10"/>
        <rFont val="Noto Sans CJK SC"/>
        <family val="2"/>
      </rPr>
      <t xml:space="preserve">만원</t>
    </r>
    <r>
      <rPr>
        <sz val="10"/>
        <rFont val="맑은 고딕"/>
        <family val="0"/>
        <charset val="1"/>
      </rPr>
      <t xml:space="preserve">)</t>
    </r>
  </si>
  <si>
    <t xml:space="preserve">상속세및증여세법</t>
  </si>
  <si>
    <r>
      <rPr>
        <b val="true"/>
        <sz val="10"/>
        <color rgb="FFC00000"/>
        <rFont val="맑은 고딕"/>
        <family val="0"/>
        <charset val="1"/>
      </rPr>
      <t xml:space="preserve">⚠ 2027</t>
    </r>
    <r>
      <rPr>
        <b val="true"/>
        <sz val="10"/>
        <color rgb="FFC00000"/>
        <rFont val="Noto Sans CJK SC"/>
        <family val="2"/>
      </rPr>
      <t xml:space="preserve">년부터 </t>
    </r>
    <r>
      <rPr>
        <b val="true"/>
        <sz val="10"/>
        <color rgb="FFC00000"/>
        <rFont val="맑은 고딕"/>
        <family val="0"/>
        <charset val="1"/>
      </rPr>
      <t xml:space="preserve">ISA </t>
    </r>
    <r>
      <rPr>
        <b val="true"/>
        <sz val="10"/>
        <color rgb="FFC00000"/>
        <rFont val="Noto Sans CJK SC"/>
        <family val="2"/>
      </rPr>
      <t xml:space="preserve">제도가 개편될 예정입니다</t>
    </r>
    <r>
      <rPr>
        <b val="true"/>
        <sz val="10"/>
        <color rgb="FFC00000"/>
        <rFont val="맑은 고딕"/>
        <family val="0"/>
        <charset val="1"/>
      </rPr>
      <t xml:space="preserve">(2026.8.3 </t>
    </r>
    <r>
      <rPr>
        <b val="true"/>
        <sz val="10"/>
        <color rgb="FFC00000"/>
        <rFont val="Noto Sans CJK SC"/>
        <family val="2"/>
      </rPr>
      <t xml:space="preserve">세제개편안</t>
    </r>
    <r>
      <rPr>
        <b val="true"/>
        <sz val="10"/>
        <color rgb="FFC00000"/>
        <rFont val="맑은 고딕"/>
        <family val="0"/>
        <charset val="1"/>
      </rPr>
      <t xml:space="preserve">, </t>
    </r>
    <r>
      <rPr>
        <b val="true"/>
        <sz val="10"/>
        <color rgb="FFC00000"/>
        <rFont val="Noto Sans CJK SC"/>
        <family val="2"/>
      </rPr>
      <t xml:space="preserve">국회 심의 전 정부안</t>
    </r>
    <r>
      <rPr>
        <b val="true"/>
        <sz val="10"/>
        <color rgb="FFC00000"/>
        <rFont val="맑은 고딕"/>
        <family val="0"/>
        <charset val="1"/>
      </rPr>
      <t xml:space="preserve">). </t>
    </r>
    <r>
      <rPr>
        <b val="true"/>
        <sz val="10"/>
        <color rgb="FFC00000"/>
        <rFont val="Noto Sans CJK SC"/>
        <family val="2"/>
      </rPr>
      <t xml:space="preserve">생산적금융 </t>
    </r>
    <r>
      <rPr>
        <b val="true"/>
        <sz val="10"/>
        <color rgb="FFC00000"/>
        <rFont val="맑은 고딕"/>
        <family val="0"/>
        <charset val="1"/>
      </rPr>
      <t xml:space="preserve">ISA </t>
    </r>
    <r>
      <rPr>
        <b val="true"/>
        <sz val="10"/>
        <color rgb="FFC00000"/>
        <rFont val="Noto Sans CJK SC"/>
        <family val="2"/>
      </rPr>
      <t xml:space="preserve">신설</t>
    </r>
    <r>
      <rPr>
        <b val="true"/>
        <sz val="10"/>
        <color rgb="FFC00000"/>
        <rFont val="맑은 고딕"/>
        <family val="0"/>
        <charset val="1"/>
      </rPr>
      <t xml:space="preserve">(</t>
    </r>
    <r>
      <rPr>
        <b val="true"/>
        <sz val="10"/>
        <color rgb="FFC00000"/>
        <rFont val="Noto Sans CJK SC"/>
        <family val="2"/>
      </rPr>
      <t xml:space="preserve">총 </t>
    </r>
    <r>
      <rPr>
        <b val="true"/>
        <sz val="10"/>
        <color rgb="FFC00000"/>
        <rFont val="맑은 고딕"/>
        <family val="0"/>
        <charset val="1"/>
      </rPr>
      <t xml:space="preserve">2</t>
    </r>
    <r>
      <rPr>
        <b val="true"/>
        <sz val="10"/>
        <color rgb="FFC00000"/>
        <rFont val="Noto Sans CJK SC"/>
        <family val="2"/>
      </rPr>
      <t xml:space="preserve">억</t>
    </r>
    <r>
      <rPr>
        <b val="true"/>
        <sz val="10"/>
        <color rgb="FFC00000"/>
        <rFont val="맑은 고딕"/>
        <family val="0"/>
        <charset val="1"/>
      </rPr>
      <t xml:space="preserve">·</t>
    </r>
    <r>
      <rPr>
        <b val="true"/>
        <sz val="10"/>
        <color rgb="FFC00000"/>
        <rFont val="Noto Sans CJK SC"/>
        <family val="2"/>
      </rPr>
      <t xml:space="preserve">최대 </t>
    </r>
    <r>
      <rPr>
        <b val="true"/>
        <sz val="10"/>
        <color rgb="FFC00000"/>
        <rFont val="맑은 고딕"/>
        <family val="0"/>
        <charset val="1"/>
      </rPr>
      <t xml:space="preserve">10</t>
    </r>
    <r>
      <rPr>
        <b val="true"/>
        <sz val="10"/>
        <color rgb="FFC00000"/>
        <rFont val="Noto Sans CJK SC"/>
        <family val="2"/>
      </rPr>
      <t xml:space="preserve">년</t>
    </r>
    <r>
      <rPr>
        <b val="true"/>
        <sz val="10"/>
        <color rgb="FFC00000"/>
        <rFont val="맑은 고딕"/>
        <family val="0"/>
        <charset val="1"/>
      </rPr>
      <t xml:space="preserve">·</t>
    </r>
    <r>
      <rPr>
        <b val="true"/>
        <sz val="10"/>
        <color rgb="FFC00000"/>
        <rFont val="Noto Sans CJK SC"/>
        <family val="2"/>
      </rPr>
      <t xml:space="preserve">이자배당 전액 비과세</t>
    </r>
    <r>
      <rPr>
        <b val="true"/>
        <sz val="10"/>
        <color rgb="FFC00000"/>
        <rFont val="맑은 고딕"/>
        <family val="0"/>
        <charset val="1"/>
      </rPr>
      <t xml:space="preserve">)</t>
    </r>
    <r>
      <rPr>
        <b val="true"/>
        <sz val="10"/>
        <color rgb="FFC00000"/>
        <rFont val="Noto Sans CJK SC"/>
        <family val="2"/>
      </rPr>
      <t xml:space="preserve">과 함께 일반 </t>
    </r>
    <r>
      <rPr>
        <b val="true"/>
        <sz val="10"/>
        <color rgb="FFC00000"/>
        <rFont val="맑은 고딕"/>
        <family val="0"/>
        <charset val="1"/>
      </rPr>
      <t xml:space="preserve">ISA</t>
    </r>
    <r>
      <rPr>
        <b val="true"/>
        <sz val="10"/>
        <color rgb="FFC00000"/>
        <rFont val="Noto Sans CJK SC"/>
        <family val="2"/>
      </rPr>
      <t xml:space="preserve">는 계약기간 </t>
    </r>
    <r>
      <rPr>
        <b val="true"/>
        <sz val="10"/>
        <color rgb="FFC00000"/>
        <rFont val="맑은 고딕"/>
        <family val="0"/>
        <charset val="1"/>
      </rPr>
      <t xml:space="preserve">5</t>
    </r>
    <r>
      <rPr>
        <b val="true"/>
        <sz val="10"/>
        <color rgb="FFC00000"/>
        <rFont val="Noto Sans CJK SC"/>
        <family val="2"/>
      </rPr>
      <t xml:space="preserve">년 제한 및 한도 이월 폐지가 기존 가입분에도 소급 적용될 예정입니다</t>
    </r>
    <r>
      <rPr>
        <b val="true"/>
        <sz val="10"/>
        <color rgb="FFC00000"/>
        <rFont val="맑은 고딕"/>
        <family val="0"/>
        <charset val="1"/>
      </rPr>
      <t xml:space="preserve">. </t>
    </r>
    <r>
      <rPr>
        <b val="true"/>
        <sz val="10"/>
        <color rgb="FFC00000"/>
        <rFont val="Noto Sans CJK SC"/>
        <family val="2"/>
      </rPr>
      <t xml:space="preserve">확정 시 본 배분표의 </t>
    </r>
    <r>
      <rPr>
        <b val="true"/>
        <sz val="10"/>
        <color rgb="FFC00000"/>
        <rFont val="맑은 고딕"/>
        <family val="0"/>
        <charset val="1"/>
      </rPr>
      <t xml:space="preserve">ISA </t>
    </r>
    <r>
      <rPr>
        <b val="true"/>
        <sz val="10"/>
        <color rgb="FFC00000"/>
        <rFont val="Noto Sans CJK SC"/>
        <family val="2"/>
      </rPr>
      <t xml:space="preserve">관련 판단을 재검토해야 합니다</t>
    </r>
    <r>
      <rPr>
        <b val="true"/>
        <sz val="10"/>
        <color rgb="FFC00000"/>
        <rFont val="맑은 고딕"/>
        <family val="0"/>
        <charset val="1"/>
      </rPr>
      <t xml:space="preserve">.</t>
    </r>
  </si>
  <si>
    <t xml:space="preserve">자동 검증 시트</t>
  </si>
  <si>
    <r>
      <rPr>
        <i val="true"/>
        <sz val="9"/>
        <color rgb="FF808080"/>
        <rFont val="Noto Sans CJK SC"/>
        <family val="2"/>
      </rPr>
      <t xml:space="preserve">배분표의 모든 값이 법정 한도와 산술적 정합성을 만족하는지 수식으로 검증합니다</t>
    </r>
    <r>
      <rPr>
        <i val="true"/>
        <sz val="9"/>
        <color rgb="FF808080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</si>
  <si>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</rPr>
      <t xml:space="preserve">배분합계
</t>
    </r>
    <r>
      <rPr>
        <b val="true"/>
        <sz val="10"/>
        <color rgb="FFFFFFFF"/>
        <rFont val="맑은 고딕"/>
        <family val="0"/>
        <charset val="1"/>
      </rPr>
      <t xml:space="preserve">= </t>
    </r>
    <r>
      <rPr>
        <b val="true"/>
        <sz val="10"/>
        <color rgb="FFFFFFFF"/>
        <rFont val="Noto Sans CJK SC"/>
        <family val="2"/>
      </rPr>
      <t xml:space="preserve">여력</t>
    </r>
  </si>
  <si>
    <r>
      <rPr>
        <b val="true"/>
        <sz val="10"/>
        <color rgb="FFFFFFFF"/>
        <rFont val="Noto Sans CJK SC"/>
        <family val="2"/>
      </rPr>
      <t xml:space="preserve">연금저축</t>
    </r>
    <r>
      <rPr>
        <b val="true"/>
        <sz val="10"/>
        <color rgb="FFFFFFFF"/>
        <rFont val="맑은 고딕"/>
        <family val="0"/>
        <charset val="1"/>
      </rPr>
      <t xml:space="preserve">+IRP
≤ 1,800</t>
    </r>
  </si>
  <si>
    <r>
      <rPr>
        <b val="true"/>
        <sz val="10"/>
        <color rgb="FFFFFFFF"/>
        <rFont val="Noto Sans CJK SC"/>
        <family val="2"/>
      </rPr>
      <t xml:space="preserve">연금저축
≤ </t>
    </r>
    <r>
      <rPr>
        <b val="true"/>
        <sz val="10"/>
        <color rgb="FFFFFFFF"/>
        <rFont val="맑은 고딕"/>
        <family val="0"/>
        <charset val="1"/>
      </rPr>
      <t xml:space="preserve">1,800</t>
    </r>
  </si>
  <si>
    <t xml:space="preserve">ISA
≤ 2,000</t>
  </si>
  <si>
    <r>
      <rPr>
        <b val="true"/>
        <sz val="10"/>
        <color rgb="FFFFFFFF"/>
        <rFont val="Noto Sans CJK SC"/>
        <family val="2"/>
      </rPr>
      <t xml:space="preserve">세액공제
≤ </t>
    </r>
    <r>
      <rPr>
        <b val="true"/>
        <sz val="10"/>
        <color rgb="FFFFFFFF"/>
        <rFont val="맑은 고딕"/>
        <family val="0"/>
        <charset val="1"/>
      </rPr>
      <t xml:space="preserve">900</t>
    </r>
  </si>
  <si>
    <r>
      <rPr>
        <b val="true"/>
        <sz val="10"/>
        <color rgb="FFFFFFFF"/>
        <rFont val="Noto Sans CJK SC"/>
        <family val="2"/>
      </rPr>
      <t xml:space="preserve">연금저축공제
≤ </t>
    </r>
    <r>
      <rPr>
        <b val="true"/>
        <sz val="10"/>
        <color rgb="FFFFFFFF"/>
        <rFont val="맑은 고딕"/>
        <family val="0"/>
        <charset val="1"/>
      </rPr>
      <t xml:space="preserve">600</t>
    </r>
  </si>
  <si>
    <t xml:space="preserve">종합 판정</t>
  </si>
  <si>
    <t xml:space="preserve">전체 판정</t>
  </si>
  <si>
    <r>
      <rPr>
        <b val="true"/>
        <sz val="11"/>
        <color rgb="FFC00000"/>
        <rFont val="Noto Sans CJK SC"/>
        <family val="2"/>
      </rPr>
      <t xml:space="preserve">■ 초안 대비 수정된 항목 </t>
    </r>
    <r>
      <rPr>
        <b val="true"/>
        <sz val="11"/>
        <color rgb="FFC00000"/>
        <rFont val="맑은 고딕"/>
        <family val="0"/>
        <charset val="1"/>
      </rPr>
      <t xml:space="preserve">(</t>
    </r>
    <r>
      <rPr>
        <b val="true"/>
        <sz val="11"/>
        <color rgb="FFC00000"/>
        <rFont val="Noto Sans CJK SC"/>
        <family val="2"/>
      </rPr>
      <t xml:space="preserve">검증 과정에서 발견</t>
    </r>
    <r>
      <rPr>
        <b val="true"/>
        <sz val="11"/>
        <color rgb="FFC00000"/>
        <rFont val="맑은 고딕"/>
        <family val="0"/>
        <charset val="1"/>
      </rPr>
      <t xml:space="preserve">)</t>
    </r>
  </si>
  <si>
    <t xml:space="preserve">대상</t>
  </si>
  <si>
    <t xml:space="preserve">수정 내용</t>
  </si>
  <si>
    <t xml:space="preserve">사유</t>
  </si>
  <si>
    <r>
      <rPr>
        <sz val="10"/>
        <rFont val="Noto Sans CJK SC"/>
        <family val="2"/>
      </rPr>
      <t xml:space="preserve">케이스 </t>
    </r>
    <r>
      <rPr>
        <sz val="10"/>
        <rFont val="맑은 고딕"/>
        <family val="0"/>
        <charset val="1"/>
      </rPr>
      <t xml:space="preserve">8 (</t>
    </r>
    <r>
      <rPr>
        <sz val="10"/>
        <rFont val="Noto Sans CJK SC"/>
        <family val="2"/>
      </rPr>
      <t xml:space="preserve">프리랜서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</si>
  <si>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노란우산 </t>
    </r>
    <r>
      <rPr>
        <sz val="10"/>
        <rFont val="맑은 고딕"/>
        <family val="0"/>
        <charset val="1"/>
      </rPr>
      <t xml:space="preserve">300</t>
    </r>
    <r>
      <rPr>
        <sz val="10"/>
        <rFont val="Noto Sans CJK SC"/>
        <family val="2"/>
      </rPr>
      <t xml:space="preserve">만 → </t>
    </r>
    <r>
      <rPr>
        <sz val="10"/>
        <rFont val="맑은 고딕"/>
        <family val="0"/>
        <charset val="1"/>
      </rPr>
      <t xml:space="preserve">400</t>
    </r>
    <r>
      <rPr>
        <sz val="10"/>
        <rFont val="Noto Sans CJK SC"/>
        <family val="2"/>
      </rPr>
      <t xml:space="preserve">만</t>
    </r>
  </si>
  <si>
    <r>
      <rPr>
        <sz val="10"/>
        <rFont val="Noto Sans CJK SC"/>
        <family val="2"/>
      </rPr>
      <t xml:space="preserve">사업소득 </t>
    </r>
    <r>
      <rPr>
        <sz val="10"/>
        <rFont val="맑은 고딕"/>
        <family val="0"/>
        <charset val="1"/>
      </rPr>
      <t xml:space="preserve">4,000</t>
    </r>
    <r>
      <rPr>
        <sz val="10"/>
        <rFont val="Noto Sans CJK SC"/>
        <family val="2"/>
      </rPr>
      <t xml:space="preserve">만</t>
    </r>
    <r>
      <rPr>
        <sz val="10"/>
        <rFont val="맑은 고딕"/>
        <family val="0"/>
        <charset val="1"/>
      </rPr>
      <t xml:space="preserve">~1</t>
    </r>
    <r>
      <rPr>
        <sz val="10"/>
        <rFont val="Noto Sans CJK SC"/>
        <family val="2"/>
      </rPr>
      <t xml:space="preserve">억 구간 소득공제 한도가 </t>
    </r>
    <r>
      <rPr>
        <sz val="10"/>
        <rFont val="맑은 고딕"/>
        <family val="0"/>
        <charset val="1"/>
      </rPr>
      <t xml:space="preserve">2025</t>
    </r>
    <r>
      <rPr>
        <sz val="10"/>
        <rFont val="Noto Sans CJK SC"/>
        <family val="2"/>
      </rPr>
      <t xml:space="preserve">년부터 </t>
    </r>
    <r>
      <rPr>
        <sz val="10"/>
        <rFont val="맑은 고딕"/>
        <family val="0"/>
        <charset val="1"/>
      </rPr>
      <t xml:space="preserve">300</t>
    </r>
    <r>
      <rPr>
        <sz val="10"/>
        <rFont val="Noto Sans CJK SC"/>
        <family val="2"/>
      </rPr>
      <t xml:space="preserve">만→</t>
    </r>
    <r>
      <rPr>
        <sz val="10"/>
        <rFont val="맑은 고딕"/>
        <family val="0"/>
        <charset val="1"/>
      </rPr>
      <t xml:space="preserve">400</t>
    </r>
    <r>
      <rPr>
        <sz val="10"/>
        <rFont val="Noto Sans CJK SC"/>
        <family val="2"/>
      </rPr>
      <t xml:space="preserve">만으로 상향됨</t>
    </r>
    <r>
      <rPr>
        <sz val="10"/>
        <rFont val="맑은 고딕"/>
        <family val="0"/>
        <charset val="1"/>
      </rPr>
      <t xml:space="preserve">. ISA</t>
    </r>
    <r>
      <rPr>
        <sz val="10"/>
        <rFont val="Noto Sans CJK SC"/>
        <family val="2"/>
      </rPr>
      <t xml:space="preserve">를 </t>
    </r>
    <r>
      <rPr>
        <sz val="10"/>
        <rFont val="맑은 고딕"/>
        <family val="0"/>
        <charset val="1"/>
      </rPr>
      <t xml:space="preserve">1,700</t>
    </r>
    <r>
      <rPr>
        <sz val="10"/>
        <rFont val="Noto Sans CJK SC"/>
        <family val="2"/>
      </rPr>
      <t xml:space="preserve">만으로 조정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</si>
  <si>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케이스 </t>
    </r>
    <r>
      <rPr>
        <sz val="10"/>
        <rFont val="맑은 고딕"/>
        <family val="0"/>
        <charset val="1"/>
      </rPr>
      <t xml:space="preserve">2 (</t>
    </r>
    <r>
      <rPr>
        <sz val="10"/>
        <rFont val="Noto Sans CJK SC"/>
        <family val="2"/>
      </rPr>
      <t xml:space="preserve">초단기 목돈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</si>
  <si>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연금저축 </t>
    </r>
    <r>
      <rPr>
        <sz val="10"/>
        <rFont val="맑은 고딕"/>
        <family val="0"/>
        <charset val="1"/>
      </rPr>
      <t xml:space="preserve">300</t>
    </r>
    <r>
      <rPr>
        <sz val="10"/>
        <rFont val="Noto Sans CJK SC"/>
        <family val="2"/>
      </rPr>
      <t xml:space="preserve">만을 조건부로 명시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</si>
  <si>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연금계좌 금지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라는 설명과 </t>
    </r>
    <r>
      <rPr>
        <sz val="10"/>
        <rFont val="맑은 고딕"/>
        <family val="0"/>
        <charset val="1"/>
      </rPr>
      <t xml:space="preserve">300</t>
    </r>
    <r>
      <rPr>
        <sz val="10"/>
        <rFont val="Noto Sans CJK SC"/>
        <family val="2"/>
      </rPr>
      <t xml:space="preserve">만 배정이 모순이었음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주택자금과 분리된 노후 전용 자금에 한정하고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여력 전액이 주택자금이면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으로 둘 것을 명시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</si>
  <si>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케이스 </t>
    </r>
    <r>
      <rPr>
        <sz val="10"/>
        <rFont val="맑은 고딕"/>
        <family val="0"/>
        <charset val="1"/>
      </rPr>
      <t xml:space="preserve">4 (</t>
    </r>
    <r>
      <rPr>
        <sz val="10"/>
        <rFont val="Noto Sans CJK SC"/>
        <family val="2"/>
      </rPr>
      <t xml:space="preserve">결정세액 부족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</si>
  <si>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실효 상한 </t>
    </r>
    <r>
      <rPr>
        <sz val="10"/>
        <rFont val="맑은 고딕"/>
        <family val="0"/>
        <charset val="1"/>
      </rPr>
      <t xml:space="preserve">220</t>
    </r>
    <r>
      <rPr>
        <sz val="10"/>
        <rFont val="Noto Sans CJK SC"/>
        <family val="2"/>
      </rPr>
      <t xml:space="preserve">만 병기</t>
    </r>
  </si>
  <si>
    <r>
      <rPr>
        <sz val="10"/>
        <rFont val="Noto Sans CJK SC"/>
        <family val="2"/>
      </rPr>
      <t xml:space="preserve">결정세액 </t>
    </r>
    <r>
      <rPr>
        <sz val="10"/>
        <rFont val="맑은 고딕"/>
        <family val="0"/>
        <charset val="1"/>
      </rPr>
      <t xml:space="preserve">36.7</t>
    </r>
    <r>
      <rPr>
        <sz val="10"/>
        <rFont val="Noto Sans CJK SC"/>
        <family val="2"/>
      </rPr>
      <t xml:space="preserve">만 </t>
    </r>
    <r>
      <rPr>
        <sz val="10"/>
        <rFont val="맑은 고딕"/>
        <family val="0"/>
        <charset val="1"/>
      </rPr>
      <t xml:space="preserve">÷ 16.5% = </t>
    </r>
    <r>
      <rPr>
        <sz val="10"/>
        <rFont val="Noto Sans CJK SC"/>
        <family val="2"/>
      </rPr>
      <t xml:space="preserve">약 </t>
    </r>
    <r>
      <rPr>
        <sz val="10"/>
        <rFont val="맑은 고딕"/>
        <family val="0"/>
        <charset val="1"/>
      </rPr>
      <t xml:space="preserve">222</t>
    </r>
    <r>
      <rPr>
        <sz val="10"/>
        <rFont val="Noto Sans CJK SC"/>
        <family val="2"/>
      </rPr>
      <t xml:space="preserve">만이 실제 상한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표의 </t>
    </r>
    <r>
      <rPr>
        <sz val="10"/>
        <rFont val="맑은 고딕"/>
        <family val="0"/>
        <charset val="1"/>
      </rPr>
      <t xml:space="preserve">200</t>
    </r>
    <r>
      <rPr>
        <sz val="10"/>
        <rFont val="Noto Sans CJK SC"/>
        <family val="2"/>
      </rPr>
      <t xml:space="preserve">만은 안전마진을 둔 값임을 명시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</si>
  <si>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케이스 </t>
    </r>
    <r>
      <rPr>
        <sz val="10"/>
        <rFont val="맑은 고딕"/>
        <family val="0"/>
        <charset val="1"/>
      </rPr>
      <t xml:space="preserve">9 (</t>
    </r>
    <r>
      <rPr>
        <sz val="10"/>
        <rFont val="Noto Sans CJK SC"/>
        <family val="2"/>
      </rPr>
      <t xml:space="preserve">무주택 청약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</si>
  <si>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IRP 0</t>
    </r>
    <r>
      <rPr>
        <sz val="10"/>
        <rFont val="Noto Sans CJK SC"/>
        <family val="2"/>
      </rPr>
      <t xml:space="preserve">을 조건부로 명시</t>
    </r>
  </si>
  <si>
    <r>
      <rPr>
        <sz val="10"/>
        <rFont val="Noto Sans CJK SC"/>
        <family val="2"/>
      </rPr>
      <t xml:space="preserve">당첨 시기가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 이상 남았다면 </t>
    </r>
    <r>
      <rPr>
        <sz val="10"/>
        <rFont val="맑은 고딕"/>
        <family val="0"/>
        <charset val="1"/>
      </rPr>
      <t xml:space="preserve">ISA 300</t>
    </r>
    <r>
      <rPr>
        <sz val="10"/>
        <rFont val="Noto Sans CJK SC"/>
        <family val="2"/>
      </rPr>
      <t xml:space="preserve">만을 줄이고 </t>
    </r>
    <r>
      <rPr>
        <sz val="10"/>
        <rFont val="맑은 고딕"/>
        <family val="0"/>
        <charset val="1"/>
      </rPr>
      <t xml:space="preserve">IRP 300</t>
    </r>
    <r>
      <rPr>
        <sz val="10"/>
        <rFont val="Noto Sans CJK SC"/>
        <family val="2"/>
      </rPr>
      <t xml:space="preserve">만을 넣는 편이 환급 </t>
    </r>
    <r>
      <rPr>
        <sz val="10"/>
        <rFont val="맑은 고딕"/>
        <family val="0"/>
        <charset val="1"/>
      </rPr>
      <t xml:space="preserve">49.5</t>
    </r>
    <r>
      <rPr>
        <sz val="10"/>
        <rFont val="Noto Sans CJK SC"/>
        <family val="2"/>
      </rPr>
      <t xml:space="preserve">만만큼 유리함을 추가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</si>
  <si>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케이스 </t>
    </r>
    <r>
      <rPr>
        <sz val="10"/>
        <rFont val="맑은 고딕"/>
        <family val="0"/>
        <charset val="1"/>
      </rPr>
      <t xml:space="preserve">5 (</t>
    </r>
    <r>
      <rPr>
        <sz val="10"/>
        <rFont val="Noto Sans CJK SC"/>
        <family val="2"/>
      </rPr>
      <t xml:space="preserve">연금 수령 중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</si>
  <si>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국민연금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사적연금 분기 명시</t>
    </r>
  </si>
  <si>
    <r>
      <rPr>
        <sz val="10"/>
        <rFont val="맑은 고딕"/>
        <family val="0"/>
        <charset val="1"/>
      </rPr>
      <t xml:space="preserve">1,500</t>
    </r>
    <r>
      <rPr>
        <sz val="10"/>
        <rFont val="Noto Sans CJK SC"/>
        <family val="2"/>
      </rPr>
      <t xml:space="preserve">만 한도는 사적연금만 계산하므로 재원 종류에 따라 배분이 정반대가 됨</t>
    </r>
    <r>
      <rPr>
        <sz val="10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</si>
</sst>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Noto Sans CJK SC"/>
      <family val="2"/>
    </font>
    <font>
      <b val="true"/>
      <sz val="14"/>
      <color rgb="FF1F3864"/>
      <name val="맑은 고딕"/>
      <family val="0"/>
      <charset val="1"/>
    </font>
    <font>
      <i val="true"/>
      <sz val="9"/>
      <color rgb="FF808080"/>
      <name val="Noto Sans CJK SC"/>
      <family val="2"/>
    </font>
    <font>
      <i val="true"/>
      <sz val="9"/>
      <color rgb="FF808080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sz val="10"/>
      <color rgb="FF0000FF"/>
      <name val="맑은 고딕"/>
      <family val="0"/>
      <charset val="1"/>
    </font>
    <font>
      <sz val="10"/>
      <color rgb="FF0000FF"/>
      <name val="Noto Sans CJK SC"/>
      <family val="2"/>
    </font>
    <font>
      <sz val="10"/>
      <color rgb="FF000000"/>
      <name val="맑은 고딕"/>
      <family val="0"/>
      <charset val="1"/>
    </font>
    <font>
      <sz val="10"/>
      <color rgb="FF000000"/>
      <name val="Noto Sans CJK SC"/>
      <family val="2"/>
    </font>
    <font>
      <sz val="9"/>
      <color rgb="FF404040"/>
      <name val="Noto Sans CJK SC"/>
      <family val="2"/>
    </font>
    <font>
      <sz val="9"/>
      <color rgb="FF404040"/>
      <name val="맑은 고딕"/>
      <family val="0"/>
      <charset val="1"/>
    </font>
    <font>
      <sz val="10"/>
      <name val="맑은 고딕"/>
      <family val="0"/>
      <charset val="1"/>
    </font>
    <font>
      <sz val="10"/>
      <name val="Noto Sans CJK SC"/>
      <family val="2"/>
    </font>
    <font>
      <b val="true"/>
      <sz val="10"/>
      <color rgb="FFC00000"/>
      <name val="맑은 고딕"/>
      <family val="0"/>
      <charset val="1"/>
    </font>
    <font>
      <b val="true"/>
      <sz val="10"/>
      <color rgb="FFC00000"/>
      <name val="Noto Sans CJK SC"/>
      <family val="2"/>
    </font>
    <font>
      <b val="true"/>
      <sz val="11"/>
      <name val="Noto Sans CJK SC"/>
      <family val="2"/>
    </font>
    <font>
      <b val="true"/>
      <sz val="11"/>
      <color rgb="FF006100"/>
      <name val="Noto Sans CJK SC"/>
      <family val="2"/>
    </font>
    <font>
      <b val="true"/>
      <sz val="11"/>
      <color rgb="FFC00000"/>
      <name val="Noto Sans CJK SC"/>
      <family val="2"/>
    </font>
    <font>
      <b val="true"/>
      <sz val="11"/>
      <color rgb="FFC00000"/>
      <name val="맑은 고딕"/>
      <family val="0"/>
      <charset val="1"/>
    </font>
    <font>
      <b val="true"/>
      <sz val="10"/>
      <name val="Noto Sans CJK SC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D9E2F3"/>
        <bgColor rgb="FFE2EFDA"/>
      </patternFill>
    </fill>
    <fill>
      <patternFill patternType="solid">
        <fgColor rgb="FFEDEDED"/>
        <bgColor rgb="FFE2EFDA"/>
      </patternFill>
    </fill>
    <fill>
      <patternFill patternType="solid">
        <fgColor rgb="FFC6EFCE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5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7"/>
    <col collapsed="false" customWidth="true" hidden="false" outlineLevel="0" max="9" min="9" style="0" width="9"/>
    <col collapsed="false" customWidth="true" hidden="false" outlineLevel="0" max="12" min="10" style="0" width="8"/>
    <col collapsed="false" customWidth="true" hidden="false" outlineLevel="0" max="13" min="13" style="0" width="20"/>
    <col collapsed="false" customWidth="true" hidden="false" outlineLevel="0" max="14" min="14" style="0" width="8"/>
    <col collapsed="false" customWidth="true" hidden="false" outlineLevel="0" max="18" min="15" style="0" width="9"/>
    <col collapsed="false" customWidth="true" hidden="false" outlineLevel="0" max="19" min="19" style="0" width="62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4" t="s">
        <v>11</v>
      </c>
      <c r="K4" s="4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customFormat="false" ht="45.75" hidden="false" customHeight="true" outlineLevel="0" collapsed="false">
      <c r="A5" s="5" t="n">
        <v>1</v>
      </c>
      <c r="B5" s="6" t="s">
        <v>21</v>
      </c>
      <c r="C5" s="5" t="n">
        <v>30</v>
      </c>
      <c r="D5" s="7" t="s">
        <v>22</v>
      </c>
      <c r="E5" s="8" t="n">
        <v>4000</v>
      </c>
      <c r="F5" s="8" t="n">
        <v>2000</v>
      </c>
      <c r="G5" s="6" t="s">
        <v>23</v>
      </c>
      <c r="H5" s="9" t="n">
        <v>0.165</v>
      </c>
      <c r="I5" s="8" t="n">
        <v>600</v>
      </c>
      <c r="J5" s="8" t="n">
        <v>300</v>
      </c>
      <c r="K5" s="8" t="n">
        <v>1100</v>
      </c>
      <c r="L5" s="8" t="n">
        <v>0</v>
      </c>
      <c r="M5" s="10" t="s">
        <v>24</v>
      </c>
      <c r="N5" s="11" t="n">
        <f aca="false">I5+J5+K5+L5</f>
        <v>2000</v>
      </c>
      <c r="O5" s="11" t="n">
        <f aca="false">MIN(MIN(I5,600)+J5,900)</f>
        <v>900</v>
      </c>
      <c r="P5" s="11" t="n">
        <f aca="false">ROUND(O5*H5,1)</f>
        <v>148.5</v>
      </c>
      <c r="Q5" s="8" t="n">
        <v>179</v>
      </c>
      <c r="R5" s="12" t="str">
        <f aca="false">IF(P5=0,"해당없음",IF(P5&gt;Q5,"제약 있음","여유"))</f>
        <v>여유</v>
      </c>
      <c r="S5" s="13" t="s">
        <v>25</v>
      </c>
    </row>
    <row r="6" customFormat="false" ht="45.75" hidden="false" customHeight="true" outlineLevel="0" collapsed="false">
      <c r="A6" s="5" t="n">
        <v>2</v>
      </c>
      <c r="B6" s="6" t="s">
        <v>26</v>
      </c>
      <c r="C6" s="5" t="n">
        <v>35</v>
      </c>
      <c r="D6" s="7" t="s">
        <v>22</v>
      </c>
      <c r="E6" s="8" t="n">
        <v>6000</v>
      </c>
      <c r="F6" s="8" t="n">
        <v>3000</v>
      </c>
      <c r="G6" s="10" t="s">
        <v>27</v>
      </c>
      <c r="H6" s="9" t="n">
        <v>0.132</v>
      </c>
      <c r="I6" s="8" t="n">
        <v>300</v>
      </c>
      <c r="J6" s="8" t="n">
        <v>0</v>
      </c>
      <c r="K6" s="8" t="n">
        <v>0</v>
      </c>
      <c r="L6" s="8" t="n">
        <v>2700</v>
      </c>
      <c r="M6" s="6" t="s">
        <v>28</v>
      </c>
      <c r="N6" s="11" t="n">
        <f aca="false">I6+J6+K6+L6</f>
        <v>3000</v>
      </c>
      <c r="O6" s="11" t="n">
        <f aca="false">MIN(MIN(I6,600)+J6,900)</f>
        <v>300</v>
      </c>
      <c r="P6" s="11" t="n">
        <f aca="false">ROUND(O6*H6,1)</f>
        <v>39.6</v>
      </c>
      <c r="Q6" s="8" t="n">
        <v>459</v>
      </c>
      <c r="R6" s="12" t="str">
        <f aca="false">IF(P6=0,"해당없음",IF(P6&gt;Q6,"제약 있음","여유"))</f>
        <v>여유</v>
      </c>
      <c r="S6" s="13" t="s">
        <v>29</v>
      </c>
    </row>
    <row r="7" customFormat="false" ht="45.75" hidden="false" customHeight="true" outlineLevel="0" collapsed="false">
      <c r="A7" s="5" t="n">
        <v>3</v>
      </c>
      <c r="B7" s="6" t="s">
        <v>30</v>
      </c>
      <c r="C7" s="5" t="n">
        <v>45</v>
      </c>
      <c r="D7" s="7" t="s">
        <v>22</v>
      </c>
      <c r="E7" s="8" t="n">
        <v>6000</v>
      </c>
      <c r="F7" s="8" t="n">
        <v>3000</v>
      </c>
      <c r="G7" s="10" t="s">
        <v>31</v>
      </c>
      <c r="H7" s="9" t="n">
        <v>0.132</v>
      </c>
      <c r="I7" s="8" t="n">
        <v>1500</v>
      </c>
      <c r="J7" s="8" t="n">
        <v>300</v>
      </c>
      <c r="K7" s="8" t="n">
        <v>1200</v>
      </c>
      <c r="L7" s="8" t="n">
        <v>0</v>
      </c>
      <c r="M7" s="10" t="s">
        <v>24</v>
      </c>
      <c r="N7" s="11" t="n">
        <f aca="false">I7+J7+K7+L7</f>
        <v>3000</v>
      </c>
      <c r="O7" s="11" t="n">
        <f aca="false">MIN(MIN(I7,600)+J7,900)</f>
        <v>900</v>
      </c>
      <c r="P7" s="11" t="n">
        <f aca="false">ROUND(O7*H7,1)</f>
        <v>118.8</v>
      </c>
      <c r="Q7" s="8" t="n">
        <v>459</v>
      </c>
      <c r="R7" s="12" t="str">
        <f aca="false">IF(P7=0,"해당없음",IF(P7&gt;Q7,"제약 있음","여유"))</f>
        <v>여유</v>
      </c>
      <c r="S7" s="14" t="s">
        <v>32</v>
      </c>
    </row>
    <row r="8" customFormat="false" ht="45.75" hidden="false" customHeight="true" outlineLevel="0" collapsed="false">
      <c r="A8" s="5" t="n">
        <v>4</v>
      </c>
      <c r="B8" s="6" t="s">
        <v>33</v>
      </c>
      <c r="C8" s="5" t="n">
        <v>28</v>
      </c>
      <c r="D8" s="7" t="s">
        <v>22</v>
      </c>
      <c r="E8" s="8" t="n">
        <v>2500</v>
      </c>
      <c r="F8" s="8" t="n">
        <v>1000</v>
      </c>
      <c r="G8" s="6" t="s">
        <v>23</v>
      </c>
      <c r="H8" s="9" t="n">
        <v>0.165</v>
      </c>
      <c r="I8" s="8" t="n">
        <v>200</v>
      </c>
      <c r="J8" s="8" t="n">
        <v>0</v>
      </c>
      <c r="K8" s="8" t="n">
        <v>800</v>
      </c>
      <c r="L8" s="8" t="n">
        <v>0</v>
      </c>
      <c r="M8" s="6" t="s">
        <v>34</v>
      </c>
      <c r="N8" s="11" t="n">
        <f aca="false">I8+J8+K8+L8</f>
        <v>1000</v>
      </c>
      <c r="O8" s="11" t="n">
        <f aca="false">MIN(MIN(I8,600)+J8,900)</f>
        <v>200</v>
      </c>
      <c r="P8" s="11" t="n">
        <f aca="false">ROUND(O8*H8,1)</f>
        <v>33</v>
      </c>
      <c r="Q8" s="8" t="n">
        <v>37</v>
      </c>
      <c r="R8" s="12" t="str">
        <f aca="false">IF(P8=0,"해당없음",IF(P8&gt;Q8,"제약 있음","여유"))</f>
        <v>여유</v>
      </c>
      <c r="S8" s="14" t="s">
        <v>35</v>
      </c>
    </row>
    <row r="9" customFormat="false" ht="45.75" hidden="false" customHeight="true" outlineLevel="0" collapsed="false">
      <c r="A9" s="5" t="n">
        <v>5</v>
      </c>
      <c r="B9" s="6" t="s">
        <v>36</v>
      </c>
      <c r="C9" s="5" t="n">
        <v>60</v>
      </c>
      <c r="D9" s="7" t="s">
        <v>22</v>
      </c>
      <c r="E9" s="8" t="n">
        <v>10000</v>
      </c>
      <c r="F9" s="8" t="n">
        <v>5000</v>
      </c>
      <c r="G9" s="6" t="s">
        <v>23</v>
      </c>
      <c r="H9" s="9" t="n">
        <v>0.132</v>
      </c>
      <c r="I9" s="8" t="n">
        <v>0</v>
      </c>
      <c r="J9" s="8" t="n">
        <v>0</v>
      </c>
      <c r="K9" s="8" t="n">
        <v>2000</v>
      </c>
      <c r="L9" s="8" t="n">
        <v>3000</v>
      </c>
      <c r="M9" s="6" t="s">
        <v>37</v>
      </c>
      <c r="N9" s="11" t="n">
        <f aca="false">I9+J9+K9+L9</f>
        <v>5000</v>
      </c>
      <c r="O9" s="11" t="n">
        <f aca="false">MIN(MIN(I9,600)+J9,900)</f>
        <v>0</v>
      </c>
      <c r="P9" s="11" t="n">
        <f aca="false">ROUND(O9*H9,1)</f>
        <v>0</v>
      </c>
      <c r="Q9" s="8" t="n">
        <v>1323</v>
      </c>
      <c r="R9" s="12" t="str">
        <f aca="false">IF(P9=0,"해당없음",IF(P9&gt;Q9,"제약 있음","여유"))</f>
        <v>해당없음</v>
      </c>
      <c r="S9" s="14" t="s">
        <v>38</v>
      </c>
    </row>
    <row r="10" customFormat="false" ht="45.75" hidden="false" customHeight="true" outlineLevel="0" collapsed="false">
      <c r="A10" s="5" t="n">
        <v>6</v>
      </c>
      <c r="B10" s="10" t="s">
        <v>39</v>
      </c>
      <c r="C10" s="5" t="n">
        <v>45</v>
      </c>
      <c r="D10" s="7" t="s">
        <v>22</v>
      </c>
      <c r="E10" s="8" t="n">
        <v>8000</v>
      </c>
      <c r="F10" s="8" t="n">
        <v>4000</v>
      </c>
      <c r="G10" s="6" t="s">
        <v>23</v>
      </c>
      <c r="H10" s="9" t="n">
        <v>0.132</v>
      </c>
      <c r="I10" s="8" t="n">
        <v>1500</v>
      </c>
      <c r="J10" s="8" t="n">
        <v>300</v>
      </c>
      <c r="K10" s="8" t="n">
        <v>0</v>
      </c>
      <c r="L10" s="8" t="n">
        <v>2200</v>
      </c>
      <c r="M10" s="6" t="s">
        <v>37</v>
      </c>
      <c r="N10" s="11" t="n">
        <f aca="false">I10+J10+K10+L10</f>
        <v>4000</v>
      </c>
      <c r="O10" s="11" t="n">
        <f aca="false">MIN(MIN(I10,600)+J10,900)</f>
        <v>900</v>
      </c>
      <c r="P10" s="11" t="n">
        <f aca="false">ROUND(O10*H10,1)</f>
        <v>118.8</v>
      </c>
      <c r="Q10" s="8" t="n">
        <v>832</v>
      </c>
      <c r="R10" s="12" t="str">
        <f aca="false">IF(P10=0,"해당없음",IF(P10&gt;Q10,"제약 있음","여유"))</f>
        <v>여유</v>
      </c>
      <c r="S10" s="14" t="s">
        <v>40</v>
      </c>
    </row>
    <row r="11" customFormat="false" ht="45.75" hidden="false" customHeight="true" outlineLevel="0" collapsed="false">
      <c r="A11" s="15" t="n">
        <v>7</v>
      </c>
      <c r="B11" s="16" t="s">
        <v>41</v>
      </c>
      <c r="C11" s="15" t="n">
        <v>35</v>
      </c>
      <c r="D11" s="17" t="s">
        <v>42</v>
      </c>
      <c r="E11" s="18" t="n">
        <v>0</v>
      </c>
      <c r="F11" s="18" t="n">
        <v>1500</v>
      </c>
      <c r="G11" s="16" t="s">
        <v>23</v>
      </c>
      <c r="H11" s="19" t="n">
        <v>0</v>
      </c>
      <c r="I11" s="18" t="n">
        <v>0</v>
      </c>
      <c r="J11" s="18" t="n">
        <v>0</v>
      </c>
      <c r="K11" s="18" t="n">
        <v>1500</v>
      </c>
      <c r="L11" s="18" t="n">
        <v>0</v>
      </c>
      <c r="M11" s="20" t="s">
        <v>24</v>
      </c>
      <c r="N11" s="21" t="n">
        <f aca="false">I11+J11+K11+L11</f>
        <v>1500</v>
      </c>
      <c r="O11" s="21" t="n">
        <f aca="false">MIN(MIN(I11,600)+J11,900)</f>
        <v>0</v>
      </c>
      <c r="P11" s="21" t="n">
        <f aca="false">ROUND(O11*H11,1)</f>
        <v>0</v>
      </c>
      <c r="Q11" s="18" t="n">
        <v>0</v>
      </c>
      <c r="R11" s="22" t="str">
        <f aca="false">IF(P11=0,"해당없음",IF(P11&gt;Q11,"제약 있음","여유"))</f>
        <v>해당없음</v>
      </c>
      <c r="S11" s="23" t="s">
        <v>43</v>
      </c>
    </row>
    <row r="12" customFormat="false" ht="45.75" hidden="false" customHeight="true" outlineLevel="0" collapsed="false">
      <c r="A12" s="5" t="n">
        <v>8</v>
      </c>
      <c r="B12" s="6" t="s">
        <v>44</v>
      </c>
      <c r="C12" s="5" t="n">
        <v>38</v>
      </c>
      <c r="D12" s="7" t="s">
        <v>45</v>
      </c>
      <c r="E12" s="8" t="n">
        <v>8000</v>
      </c>
      <c r="F12" s="8" t="n">
        <v>3000</v>
      </c>
      <c r="G12" s="6" t="s">
        <v>23</v>
      </c>
      <c r="H12" s="9" t="n">
        <v>0.132</v>
      </c>
      <c r="I12" s="8" t="n">
        <v>600</v>
      </c>
      <c r="J12" s="8" t="n">
        <v>300</v>
      </c>
      <c r="K12" s="8" t="n">
        <v>1700</v>
      </c>
      <c r="L12" s="8" t="n">
        <v>400</v>
      </c>
      <c r="M12" s="6" t="s">
        <v>46</v>
      </c>
      <c r="N12" s="11" t="n">
        <f aca="false">I12+J12+K12+L12</f>
        <v>3000</v>
      </c>
      <c r="O12" s="11" t="n">
        <f aca="false">MIN(MIN(I12,600)+J12,900)</f>
        <v>900</v>
      </c>
      <c r="P12" s="11" t="n">
        <f aca="false">ROUND(O12*H12,1)</f>
        <v>118.8</v>
      </c>
      <c r="Q12" s="8" t="n">
        <v>1000</v>
      </c>
      <c r="R12" s="12" t="str">
        <f aca="false">IF(P12=0,"해당없음",IF(P12&gt;Q12,"제약 있음","여유"))</f>
        <v>여유</v>
      </c>
      <c r="S12" s="14" t="s">
        <v>47</v>
      </c>
    </row>
    <row r="13" customFormat="false" ht="45.75" hidden="false" customHeight="true" outlineLevel="0" collapsed="false">
      <c r="A13" s="5" t="n">
        <v>9</v>
      </c>
      <c r="B13" s="6" t="s">
        <v>48</v>
      </c>
      <c r="C13" s="5" t="n">
        <v>32</v>
      </c>
      <c r="D13" s="7" t="s">
        <v>22</v>
      </c>
      <c r="E13" s="8" t="n">
        <v>5000</v>
      </c>
      <c r="F13" s="8" t="n">
        <v>1500</v>
      </c>
      <c r="G13" s="6" t="s">
        <v>49</v>
      </c>
      <c r="H13" s="9" t="n">
        <v>0.165</v>
      </c>
      <c r="I13" s="8" t="n">
        <v>600</v>
      </c>
      <c r="J13" s="8" t="n">
        <v>0</v>
      </c>
      <c r="K13" s="8" t="n">
        <v>600</v>
      </c>
      <c r="L13" s="8" t="n">
        <v>300</v>
      </c>
      <c r="M13" s="6" t="s">
        <v>50</v>
      </c>
      <c r="N13" s="11" t="n">
        <f aca="false">I13+J13+K13+L13</f>
        <v>1500</v>
      </c>
      <c r="O13" s="11" t="n">
        <f aca="false">MIN(MIN(I13,600)+J13,900)</f>
        <v>600</v>
      </c>
      <c r="P13" s="11" t="n">
        <f aca="false">ROUND(O13*H13,1)</f>
        <v>99</v>
      </c>
      <c r="Q13" s="8" t="n">
        <v>316</v>
      </c>
      <c r="R13" s="12" t="str">
        <f aca="false">IF(P13=0,"해당없음",IF(P13&gt;Q13,"제약 있음","여유"))</f>
        <v>여유</v>
      </c>
      <c r="S13" s="14" t="s">
        <v>51</v>
      </c>
    </row>
    <row r="14" customFormat="false" ht="45.75" hidden="false" customHeight="true" outlineLevel="0" collapsed="false">
      <c r="A14" s="5" t="n">
        <v>10</v>
      </c>
      <c r="B14" s="6" t="s">
        <v>52</v>
      </c>
      <c r="C14" s="5" t="n">
        <v>33</v>
      </c>
      <c r="D14" s="7" t="s">
        <v>22</v>
      </c>
      <c r="E14" s="8" t="n">
        <v>7000</v>
      </c>
      <c r="F14" s="8" t="n">
        <v>3000</v>
      </c>
      <c r="G14" s="6" t="s">
        <v>23</v>
      </c>
      <c r="H14" s="9" t="n">
        <v>0.132</v>
      </c>
      <c r="I14" s="8" t="n">
        <v>600</v>
      </c>
      <c r="J14" s="8" t="n">
        <v>300</v>
      </c>
      <c r="K14" s="8" t="n">
        <v>1000</v>
      </c>
      <c r="L14" s="8" t="n">
        <v>1100</v>
      </c>
      <c r="M14" s="6" t="s">
        <v>53</v>
      </c>
      <c r="N14" s="11" t="n">
        <f aca="false">I14+J14+K14+L14</f>
        <v>3000</v>
      </c>
      <c r="O14" s="11" t="n">
        <f aca="false">MIN(MIN(I14,600)+J14,900)</f>
        <v>900</v>
      </c>
      <c r="P14" s="11" t="n">
        <f aca="false">ROUND(O14*H14,1)</f>
        <v>118.8</v>
      </c>
      <c r="Q14" s="8" t="n">
        <v>601</v>
      </c>
      <c r="R14" s="12" t="str">
        <f aca="false">IF(P14=0,"해당없음",IF(P14&gt;Q14,"제약 있음","여유"))</f>
        <v>여유</v>
      </c>
      <c r="S14" s="14" t="s">
        <v>54</v>
      </c>
    </row>
    <row r="15" customFormat="false" ht="45.75" hidden="false" customHeight="true" outlineLevel="0" collapsed="false">
      <c r="A15" s="15" t="n">
        <v>11</v>
      </c>
      <c r="B15" s="16" t="s">
        <v>55</v>
      </c>
      <c r="C15" s="15" t="n">
        <v>10</v>
      </c>
      <c r="D15" s="17" t="s">
        <v>42</v>
      </c>
      <c r="E15" s="18" t="n">
        <v>0</v>
      </c>
      <c r="F15" s="18" t="n">
        <v>2000</v>
      </c>
      <c r="G15" s="16" t="s">
        <v>56</v>
      </c>
      <c r="H15" s="19" t="n">
        <v>0</v>
      </c>
      <c r="I15" s="18" t="n">
        <v>0</v>
      </c>
      <c r="J15" s="18" t="n">
        <v>0</v>
      </c>
      <c r="K15" s="18" t="n">
        <v>0</v>
      </c>
      <c r="L15" s="18" t="n">
        <v>2000</v>
      </c>
      <c r="M15" s="16" t="s">
        <v>57</v>
      </c>
      <c r="N15" s="21" t="n">
        <f aca="false">I15+J15+K15+L15</f>
        <v>2000</v>
      </c>
      <c r="O15" s="21" t="n">
        <f aca="false">MIN(MIN(I15,600)+J15,900)</f>
        <v>0</v>
      </c>
      <c r="P15" s="21" t="n">
        <f aca="false">ROUND(O15*H15,1)</f>
        <v>0</v>
      </c>
      <c r="Q15" s="18" t="n">
        <v>0</v>
      </c>
      <c r="R15" s="22" t="str">
        <f aca="false">IF(P15=0,"해당없음",IF(P15&gt;Q15,"제약 있음","여유"))</f>
        <v>해당없음</v>
      </c>
      <c r="S15" s="23" t="s">
        <v>58</v>
      </c>
    </row>
    <row r="16" customFormat="false" ht="45.75" hidden="false" customHeight="true" outlineLevel="0" collapsed="false">
      <c r="A16" s="5" t="n">
        <v>12</v>
      </c>
      <c r="B16" s="6" t="s">
        <v>59</v>
      </c>
      <c r="C16" s="5" t="n">
        <v>34</v>
      </c>
      <c r="D16" s="7" t="s">
        <v>22</v>
      </c>
      <c r="E16" s="8" t="n">
        <v>5400</v>
      </c>
      <c r="F16" s="8" t="n">
        <v>2000</v>
      </c>
      <c r="G16" s="6" t="s">
        <v>23</v>
      </c>
      <c r="H16" s="9" t="n">
        <v>0.165</v>
      </c>
      <c r="I16" s="8" t="n">
        <v>600</v>
      </c>
      <c r="J16" s="8" t="n">
        <v>300</v>
      </c>
      <c r="K16" s="8" t="n">
        <v>1100</v>
      </c>
      <c r="L16" s="8" t="n">
        <v>0</v>
      </c>
      <c r="M16" s="10" t="s">
        <v>24</v>
      </c>
      <c r="N16" s="11" t="n">
        <f aca="false">I16+J16+K16+L16</f>
        <v>2000</v>
      </c>
      <c r="O16" s="11" t="n">
        <f aca="false">MIN(MIN(I16,600)+J16,900)</f>
        <v>900</v>
      </c>
      <c r="P16" s="11" t="n">
        <f aca="false">ROUND(O16*H16,1)</f>
        <v>148.5</v>
      </c>
      <c r="Q16" s="8" t="n">
        <v>373</v>
      </c>
      <c r="R16" s="12" t="str">
        <f aca="false">IF(P16=0,"해당없음",IF(P16&gt;Q16,"제약 있음","여유"))</f>
        <v>여유</v>
      </c>
      <c r="S16" s="13" t="s">
        <v>60</v>
      </c>
    </row>
    <row r="17" customFormat="false" ht="45.75" hidden="false" customHeight="true" outlineLevel="0" collapsed="false">
      <c r="A17" s="15" t="n">
        <v>13</v>
      </c>
      <c r="B17" s="16" t="s">
        <v>61</v>
      </c>
      <c r="C17" s="15" t="n">
        <v>32</v>
      </c>
      <c r="D17" s="17" t="s">
        <v>62</v>
      </c>
      <c r="E17" s="18" t="n">
        <v>0</v>
      </c>
      <c r="F17" s="18" t="n">
        <v>2000</v>
      </c>
      <c r="G17" s="16" t="s">
        <v>23</v>
      </c>
      <c r="H17" s="19" t="n">
        <v>0</v>
      </c>
      <c r="I17" s="18" t="n">
        <v>0</v>
      </c>
      <c r="J17" s="18" t="n">
        <v>0</v>
      </c>
      <c r="K17" s="18" t="n">
        <v>2000</v>
      </c>
      <c r="L17" s="18" t="n">
        <v>0</v>
      </c>
      <c r="M17" s="20" t="s">
        <v>24</v>
      </c>
      <c r="N17" s="21" t="n">
        <f aca="false">I17+J17+K17+L17</f>
        <v>2000</v>
      </c>
      <c r="O17" s="21" t="n">
        <f aca="false">MIN(MIN(I17,600)+J17,900)</f>
        <v>0</v>
      </c>
      <c r="P17" s="21" t="n">
        <f aca="false">ROUND(O17*H17,1)</f>
        <v>0</v>
      </c>
      <c r="Q17" s="18" t="n">
        <v>0</v>
      </c>
      <c r="R17" s="22" t="str">
        <f aca="false">IF(P17=0,"해당없음",IF(P17&gt;Q17,"제약 있음","여유"))</f>
        <v>해당없음</v>
      </c>
      <c r="S17" s="24" t="s">
        <v>63</v>
      </c>
    </row>
    <row r="18" customFormat="false" ht="45.75" hidden="false" customHeight="true" outlineLevel="0" collapsed="false">
      <c r="A18" s="5" t="n">
        <v>14</v>
      </c>
      <c r="B18" s="6" t="s">
        <v>64</v>
      </c>
      <c r="C18" s="5" t="n">
        <v>55</v>
      </c>
      <c r="D18" s="7" t="s">
        <v>22</v>
      </c>
      <c r="E18" s="8" t="n">
        <v>8000</v>
      </c>
      <c r="F18" s="8" t="n">
        <v>3000</v>
      </c>
      <c r="G18" s="6" t="s">
        <v>65</v>
      </c>
      <c r="H18" s="9" t="n">
        <v>0.132</v>
      </c>
      <c r="I18" s="8" t="n">
        <v>600</v>
      </c>
      <c r="J18" s="8" t="n">
        <v>300</v>
      </c>
      <c r="K18" s="8" t="n">
        <v>2000</v>
      </c>
      <c r="L18" s="8" t="n">
        <v>100</v>
      </c>
      <c r="M18" s="6" t="s">
        <v>37</v>
      </c>
      <c r="N18" s="11" t="n">
        <f aca="false">I18+J18+K18+L18</f>
        <v>3000</v>
      </c>
      <c r="O18" s="11" t="n">
        <f aca="false">MIN(MIN(I18,600)+J18,900)</f>
        <v>900</v>
      </c>
      <c r="P18" s="11" t="n">
        <f aca="false">ROUND(O18*H18,1)</f>
        <v>118.8</v>
      </c>
      <c r="Q18" s="8" t="n">
        <v>832</v>
      </c>
      <c r="R18" s="12" t="str">
        <f aca="false">IF(P18=0,"해당없음",IF(P18&gt;Q18,"제약 있음","여유"))</f>
        <v>여유</v>
      </c>
      <c r="S18" s="14" t="s">
        <v>66</v>
      </c>
    </row>
    <row r="21" customFormat="false" ht="15" hidden="false" customHeight="false" outlineLevel="0" collapsed="false">
      <c r="A21" s="25" t="s">
        <v>67</v>
      </c>
    </row>
    <row r="22" customFormat="false" ht="15" hidden="false" customHeight="false" outlineLevel="0" collapsed="false">
      <c r="A22" s="25" t="s">
        <v>68</v>
      </c>
    </row>
    <row r="23" customFormat="false" ht="15" hidden="false" customHeight="false" outlineLevel="0" collapsed="false">
      <c r="A23" s="25" t="s">
        <v>69</v>
      </c>
    </row>
    <row r="24" customFormat="false" ht="15" hidden="false" customHeight="false" outlineLevel="0" collapsed="false">
      <c r="A24" s="25" t="s">
        <v>70</v>
      </c>
    </row>
    <row r="25" customFormat="false" ht="15" hidden="false" customHeight="false" outlineLevel="0" collapsed="false">
      <c r="A25" s="25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5" min="3" style="0" width="58"/>
  </cols>
  <sheetData>
    <row r="1" customFormat="false" ht="17.35" hidden="false" customHeight="false" outlineLevel="0" collapsed="false">
      <c r="A1" s="1" t="s">
        <v>72</v>
      </c>
    </row>
    <row r="3" customFormat="false" ht="24" hidden="false" customHeight="true" outlineLevel="0" collapsed="false">
      <c r="A3" s="3" t="s">
        <v>2</v>
      </c>
      <c r="B3" s="3" t="s">
        <v>3</v>
      </c>
      <c r="C3" s="3" t="s">
        <v>73</v>
      </c>
      <c r="D3" s="3" t="s">
        <v>74</v>
      </c>
      <c r="E3" s="3" t="s">
        <v>75</v>
      </c>
    </row>
    <row r="4" customFormat="false" ht="91.5" hidden="false" customHeight="true" outlineLevel="0" collapsed="false">
      <c r="A4" s="26" t="n">
        <v>1</v>
      </c>
      <c r="B4" s="27" t="s">
        <v>21</v>
      </c>
      <c r="C4" s="27" t="s">
        <v>76</v>
      </c>
      <c r="D4" s="27" t="s">
        <v>77</v>
      </c>
      <c r="E4" s="28" t="s">
        <v>78</v>
      </c>
    </row>
    <row r="5" customFormat="false" ht="91.5" hidden="false" customHeight="true" outlineLevel="0" collapsed="false">
      <c r="A5" s="26" t="n">
        <v>2</v>
      </c>
      <c r="B5" s="27" t="s">
        <v>79</v>
      </c>
      <c r="C5" s="27" t="s">
        <v>80</v>
      </c>
      <c r="D5" s="27" t="s">
        <v>81</v>
      </c>
      <c r="E5" s="27" t="s">
        <v>82</v>
      </c>
    </row>
    <row r="6" customFormat="false" ht="91.5" hidden="false" customHeight="true" outlineLevel="0" collapsed="false">
      <c r="A6" s="26" t="n">
        <v>3</v>
      </c>
      <c r="B6" s="27" t="s">
        <v>30</v>
      </c>
      <c r="C6" s="27" t="s">
        <v>83</v>
      </c>
      <c r="D6" s="27" t="s">
        <v>84</v>
      </c>
      <c r="E6" s="28" t="s">
        <v>85</v>
      </c>
    </row>
    <row r="7" customFormat="false" ht="91.5" hidden="false" customHeight="true" outlineLevel="0" collapsed="false">
      <c r="A7" s="29" t="n">
        <v>4</v>
      </c>
      <c r="B7" s="30" t="s">
        <v>33</v>
      </c>
      <c r="C7" s="30" t="s">
        <v>86</v>
      </c>
      <c r="D7" s="31" t="s">
        <v>87</v>
      </c>
      <c r="E7" s="30" t="s">
        <v>88</v>
      </c>
    </row>
    <row r="8" customFormat="false" ht="91.5" hidden="false" customHeight="true" outlineLevel="0" collapsed="false">
      <c r="A8" s="26" t="n">
        <v>5</v>
      </c>
      <c r="B8" s="27" t="s">
        <v>36</v>
      </c>
      <c r="C8" s="28" t="s">
        <v>89</v>
      </c>
      <c r="D8" s="27" t="s">
        <v>90</v>
      </c>
      <c r="E8" s="27" t="s">
        <v>91</v>
      </c>
    </row>
    <row r="9" customFormat="false" ht="91.5" hidden="false" customHeight="true" outlineLevel="0" collapsed="false">
      <c r="A9" s="26" t="n">
        <v>6</v>
      </c>
      <c r="B9" s="28" t="s">
        <v>92</v>
      </c>
      <c r="C9" s="27" t="s">
        <v>93</v>
      </c>
      <c r="D9" s="28" t="s">
        <v>94</v>
      </c>
      <c r="E9" s="27" t="s">
        <v>95</v>
      </c>
    </row>
    <row r="10" customFormat="false" ht="91.5" hidden="false" customHeight="true" outlineLevel="0" collapsed="false">
      <c r="A10" s="29" t="n">
        <v>7</v>
      </c>
      <c r="B10" s="30" t="s">
        <v>41</v>
      </c>
      <c r="C10" s="31" t="s">
        <v>96</v>
      </c>
      <c r="D10" s="31" t="s">
        <v>97</v>
      </c>
      <c r="E10" s="30" t="s">
        <v>98</v>
      </c>
    </row>
    <row r="11" customFormat="false" ht="91.5" hidden="false" customHeight="true" outlineLevel="0" collapsed="false">
      <c r="A11" s="26" t="n">
        <v>8</v>
      </c>
      <c r="B11" s="27" t="s">
        <v>99</v>
      </c>
      <c r="C11" s="27" t="s">
        <v>100</v>
      </c>
      <c r="D11" s="27" t="s">
        <v>101</v>
      </c>
      <c r="E11" s="28" t="s">
        <v>102</v>
      </c>
    </row>
    <row r="12" customFormat="false" ht="91.5" hidden="false" customHeight="true" outlineLevel="0" collapsed="false">
      <c r="A12" s="26" t="n">
        <v>9</v>
      </c>
      <c r="B12" s="27" t="s">
        <v>48</v>
      </c>
      <c r="C12" s="27" t="s">
        <v>103</v>
      </c>
      <c r="D12" s="27" t="s">
        <v>104</v>
      </c>
      <c r="E12" s="28" t="s">
        <v>105</v>
      </c>
    </row>
    <row r="13" customFormat="false" ht="91.5" hidden="false" customHeight="true" outlineLevel="0" collapsed="false">
      <c r="A13" s="26" t="n">
        <v>10</v>
      </c>
      <c r="B13" s="27" t="s">
        <v>52</v>
      </c>
      <c r="C13" s="28" t="s">
        <v>106</v>
      </c>
      <c r="D13" s="27" t="s">
        <v>107</v>
      </c>
      <c r="E13" s="27" t="s">
        <v>108</v>
      </c>
    </row>
    <row r="14" customFormat="false" ht="91.5" hidden="false" customHeight="true" outlineLevel="0" collapsed="false">
      <c r="A14" s="29" t="n">
        <v>11</v>
      </c>
      <c r="B14" s="30" t="s">
        <v>55</v>
      </c>
      <c r="C14" s="31" t="s">
        <v>109</v>
      </c>
      <c r="D14" s="30" t="s">
        <v>110</v>
      </c>
      <c r="E14" s="30" t="s">
        <v>111</v>
      </c>
    </row>
    <row r="15" customFormat="false" ht="91.5" hidden="false" customHeight="true" outlineLevel="0" collapsed="false">
      <c r="A15" s="26" t="n">
        <v>12</v>
      </c>
      <c r="B15" s="27" t="s">
        <v>59</v>
      </c>
      <c r="C15" s="27" t="s">
        <v>112</v>
      </c>
      <c r="D15" s="27" t="s">
        <v>113</v>
      </c>
      <c r="E15" s="27" t="s">
        <v>114</v>
      </c>
    </row>
    <row r="16" customFormat="false" ht="91.5" hidden="false" customHeight="true" outlineLevel="0" collapsed="false">
      <c r="A16" s="29" t="n">
        <v>13</v>
      </c>
      <c r="B16" s="30" t="s">
        <v>61</v>
      </c>
      <c r="C16" s="30" t="s">
        <v>115</v>
      </c>
      <c r="D16" s="30" t="s">
        <v>116</v>
      </c>
      <c r="E16" s="30" t="s">
        <v>117</v>
      </c>
    </row>
    <row r="17" customFormat="false" ht="91.5" hidden="false" customHeight="true" outlineLevel="0" collapsed="false">
      <c r="A17" s="26" t="n">
        <v>14</v>
      </c>
      <c r="B17" s="27" t="s">
        <v>64</v>
      </c>
      <c r="C17" s="27" t="s">
        <v>118</v>
      </c>
      <c r="D17" s="27" t="s">
        <v>119</v>
      </c>
      <c r="E17" s="27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46"/>
    <col collapsed="false" customWidth="true" hidden="false" outlineLevel="0" max="5" min="5" style="0" width="24"/>
  </cols>
  <sheetData>
    <row r="1" customFormat="false" ht="21.6" hidden="false" customHeight="false" outlineLevel="0" collapsed="false">
      <c r="A1" s="1" t="s">
        <v>121</v>
      </c>
    </row>
    <row r="2" customFormat="false" ht="15" hidden="false" customHeight="false" outlineLevel="0" collapsed="false">
      <c r="A2" s="2" t="s">
        <v>122</v>
      </c>
    </row>
    <row r="4" customFormat="false" ht="15" hidden="false" customHeight="false" outlineLevel="0" collapsed="false">
      <c r="A4" s="32" t="s">
        <v>123</v>
      </c>
      <c r="B4" s="32" t="s">
        <v>124</v>
      </c>
      <c r="C4" s="32" t="s">
        <v>125</v>
      </c>
      <c r="D4" s="32" t="s">
        <v>126</v>
      </c>
      <c r="E4" s="32" t="s">
        <v>127</v>
      </c>
    </row>
    <row r="5" customFormat="false" ht="15" hidden="false" customHeight="false" outlineLevel="0" collapsed="false">
      <c r="A5" s="33" t="s">
        <v>10</v>
      </c>
      <c r="B5" s="33" t="s">
        <v>128</v>
      </c>
      <c r="C5" s="34" t="s">
        <v>129</v>
      </c>
      <c r="D5" s="34" t="s">
        <v>130</v>
      </c>
      <c r="E5" s="33" t="s">
        <v>131</v>
      </c>
    </row>
    <row r="6" customFormat="false" ht="15" hidden="false" customHeight="false" outlineLevel="0" collapsed="false">
      <c r="A6" s="33" t="s">
        <v>10</v>
      </c>
      <c r="B6" s="33" t="s">
        <v>132</v>
      </c>
      <c r="C6" s="34" t="s">
        <v>133</v>
      </c>
      <c r="D6" s="33" t="s">
        <v>134</v>
      </c>
      <c r="E6" s="33" t="s">
        <v>135</v>
      </c>
    </row>
    <row r="7" customFormat="false" ht="15" hidden="false" customHeight="false" outlineLevel="0" collapsed="false">
      <c r="A7" s="33" t="s">
        <v>10</v>
      </c>
      <c r="B7" s="33" t="s">
        <v>136</v>
      </c>
      <c r="C7" s="33" t="s">
        <v>137</v>
      </c>
      <c r="D7" s="33" t="s">
        <v>138</v>
      </c>
      <c r="E7" s="34" t="s">
        <v>24</v>
      </c>
    </row>
    <row r="8" customFormat="false" ht="15" hidden="false" customHeight="false" outlineLevel="0" collapsed="false">
      <c r="A8" s="33" t="s">
        <v>10</v>
      </c>
      <c r="B8" s="33" t="s">
        <v>139</v>
      </c>
      <c r="C8" s="33" t="s">
        <v>140</v>
      </c>
      <c r="D8" s="33" t="s">
        <v>141</v>
      </c>
      <c r="E8" s="34" t="s">
        <v>24</v>
      </c>
    </row>
    <row r="9" customFormat="false" ht="15" hidden="false" customHeight="false" outlineLevel="0" collapsed="false">
      <c r="A9" s="33" t="s">
        <v>10</v>
      </c>
      <c r="B9" s="33" t="s">
        <v>142</v>
      </c>
      <c r="C9" s="33" t="s">
        <v>143</v>
      </c>
      <c r="D9" s="33" t="s">
        <v>144</v>
      </c>
      <c r="E9" s="33" t="s">
        <v>145</v>
      </c>
    </row>
    <row r="10" customFormat="false" ht="15" hidden="false" customHeight="false" outlineLevel="0" collapsed="false">
      <c r="A10" s="35" t="s">
        <v>11</v>
      </c>
      <c r="B10" s="36" t="s">
        <v>132</v>
      </c>
      <c r="C10" s="35" t="s">
        <v>146</v>
      </c>
      <c r="D10" s="36" t="s">
        <v>147</v>
      </c>
      <c r="E10" s="36" t="s">
        <v>135</v>
      </c>
    </row>
    <row r="11" customFormat="false" ht="15" hidden="false" customHeight="false" outlineLevel="0" collapsed="false">
      <c r="A11" s="35" t="s">
        <v>11</v>
      </c>
      <c r="B11" s="36" t="s">
        <v>136</v>
      </c>
      <c r="C11" s="36" t="s">
        <v>148</v>
      </c>
      <c r="D11" s="36" t="s">
        <v>149</v>
      </c>
      <c r="E11" s="36" t="s">
        <v>150</v>
      </c>
    </row>
    <row r="12" customFormat="false" ht="15" hidden="false" customHeight="false" outlineLevel="0" collapsed="false">
      <c r="A12" s="35" t="s">
        <v>11</v>
      </c>
      <c r="B12" s="36" t="s">
        <v>151</v>
      </c>
      <c r="C12" s="35" t="s">
        <v>152</v>
      </c>
      <c r="D12" s="36" t="s">
        <v>153</v>
      </c>
      <c r="E12" s="36" t="s">
        <v>154</v>
      </c>
    </row>
    <row r="13" customFormat="false" ht="15" hidden="false" customHeight="false" outlineLevel="0" collapsed="false">
      <c r="A13" s="35" t="s">
        <v>11</v>
      </c>
      <c r="B13" s="36" t="s">
        <v>155</v>
      </c>
      <c r="C13" s="36" t="s">
        <v>156</v>
      </c>
      <c r="D13" s="36" t="s">
        <v>157</v>
      </c>
      <c r="E13" s="36" t="s">
        <v>158</v>
      </c>
    </row>
    <row r="14" customFormat="false" ht="15" hidden="false" customHeight="false" outlineLevel="0" collapsed="false">
      <c r="A14" s="35" t="s">
        <v>11</v>
      </c>
      <c r="B14" s="36" t="s">
        <v>159</v>
      </c>
      <c r="C14" s="35" t="s">
        <v>160</v>
      </c>
      <c r="D14" s="36" t="s">
        <v>161</v>
      </c>
      <c r="E14" s="36" t="s">
        <v>131</v>
      </c>
    </row>
    <row r="15" customFormat="false" ht="15" hidden="false" customHeight="false" outlineLevel="0" collapsed="false">
      <c r="A15" s="37" t="s">
        <v>162</v>
      </c>
      <c r="B15" s="37" t="s">
        <v>163</v>
      </c>
      <c r="C15" s="38" t="s">
        <v>164</v>
      </c>
      <c r="D15" s="37" t="s">
        <v>165</v>
      </c>
      <c r="E15" s="37" t="s">
        <v>166</v>
      </c>
    </row>
    <row r="16" customFormat="false" ht="15" hidden="false" customHeight="false" outlineLevel="0" collapsed="false">
      <c r="A16" s="37" t="s">
        <v>162</v>
      </c>
      <c r="B16" s="37" t="s">
        <v>167</v>
      </c>
      <c r="C16" s="38" t="s">
        <v>168</v>
      </c>
      <c r="D16" s="37" t="s">
        <v>169</v>
      </c>
      <c r="E16" s="37" t="s">
        <v>166</v>
      </c>
    </row>
    <row r="17" customFormat="false" ht="15" hidden="false" customHeight="false" outlineLevel="0" collapsed="false">
      <c r="A17" s="37" t="s">
        <v>162</v>
      </c>
      <c r="B17" s="37" t="s">
        <v>170</v>
      </c>
      <c r="C17" s="38" t="s">
        <v>171</v>
      </c>
      <c r="D17" s="38" t="s">
        <v>172</v>
      </c>
      <c r="E17" s="37" t="s">
        <v>131</v>
      </c>
    </row>
    <row r="18" customFormat="false" ht="15" hidden="false" customHeight="false" outlineLevel="0" collapsed="false">
      <c r="A18" s="37" t="s">
        <v>162</v>
      </c>
      <c r="B18" s="37" t="s">
        <v>173</v>
      </c>
      <c r="C18" s="37" t="s">
        <v>174</v>
      </c>
      <c r="D18" s="37" t="s">
        <v>175</v>
      </c>
      <c r="E18" s="37" t="s">
        <v>131</v>
      </c>
    </row>
    <row r="19" customFormat="false" ht="15" hidden="false" customHeight="false" outlineLevel="0" collapsed="false">
      <c r="A19" s="37" t="s">
        <v>162</v>
      </c>
      <c r="B19" s="37" t="s">
        <v>176</v>
      </c>
      <c r="C19" s="38" t="s">
        <v>164</v>
      </c>
      <c r="D19" s="37" t="s">
        <v>177</v>
      </c>
      <c r="E19" s="37" t="s">
        <v>131</v>
      </c>
    </row>
    <row r="20" customFormat="false" ht="15" hidden="false" customHeight="false" outlineLevel="0" collapsed="false">
      <c r="A20" s="37" t="s">
        <v>162</v>
      </c>
      <c r="B20" s="37" t="s">
        <v>178</v>
      </c>
      <c r="C20" s="37" t="s">
        <v>179</v>
      </c>
      <c r="D20" s="38" t="s">
        <v>180</v>
      </c>
      <c r="E20" s="37" t="s">
        <v>181</v>
      </c>
    </row>
    <row r="21" customFormat="false" ht="15" hidden="false" customHeight="false" outlineLevel="0" collapsed="false">
      <c r="A21" s="31" t="s">
        <v>12</v>
      </c>
      <c r="B21" s="30" t="s">
        <v>128</v>
      </c>
      <c r="C21" s="31" t="s">
        <v>182</v>
      </c>
      <c r="D21" s="30" t="s">
        <v>183</v>
      </c>
      <c r="E21" s="30" t="s">
        <v>184</v>
      </c>
    </row>
    <row r="22" customFormat="false" ht="15" hidden="false" customHeight="false" outlineLevel="0" collapsed="false">
      <c r="A22" s="31" t="s">
        <v>12</v>
      </c>
      <c r="B22" s="30" t="s">
        <v>185</v>
      </c>
      <c r="C22" s="31" t="s">
        <v>186</v>
      </c>
      <c r="D22" s="31" t="s">
        <v>24</v>
      </c>
      <c r="E22" s="30" t="s">
        <v>184</v>
      </c>
    </row>
    <row r="23" customFormat="false" ht="15" hidden="false" customHeight="false" outlineLevel="0" collapsed="false">
      <c r="A23" s="31" t="s">
        <v>12</v>
      </c>
      <c r="B23" s="30" t="s">
        <v>187</v>
      </c>
      <c r="C23" s="31" t="s">
        <v>188</v>
      </c>
      <c r="D23" s="30" t="s">
        <v>189</v>
      </c>
      <c r="E23" s="30" t="s">
        <v>190</v>
      </c>
    </row>
    <row r="24" customFormat="false" ht="15" hidden="false" customHeight="false" outlineLevel="0" collapsed="false">
      <c r="A24" s="31" t="s">
        <v>12</v>
      </c>
      <c r="B24" s="30" t="s">
        <v>191</v>
      </c>
      <c r="C24" s="31" t="s">
        <v>192</v>
      </c>
      <c r="D24" s="30" t="s">
        <v>193</v>
      </c>
      <c r="E24" s="30" t="s">
        <v>166</v>
      </c>
    </row>
    <row r="25" customFormat="false" ht="15" hidden="false" customHeight="false" outlineLevel="0" collapsed="false">
      <c r="A25" s="31" t="s">
        <v>12</v>
      </c>
      <c r="B25" s="30" t="s">
        <v>194</v>
      </c>
      <c r="C25" s="31" t="s">
        <v>195</v>
      </c>
      <c r="D25" s="30" t="s">
        <v>196</v>
      </c>
      <c r="E25" s="30" t="s">
        <v>190</v>
      </c>
    </row>
    <row r="26" customFormat="false" ht="15" hidden="false" customHeight="false" outlineLevel="0" collapsed="false">
      <c r="A26" s="31" t="s">
        <v>12</v>
      </c>
      <c r="B26" s="30" t="s">
        <v>136</v>
      </c>
      <c r="C26" s="31" t="s">
        <v>197</v>
      </c>
      <c r="D26" s="30" t="s">
        <v>198</v>
      </c>
      <c r="E26" s="30" t="s">
        <v>190</v>
      </c>
    </row>
    <row r="27" customFormat="false" ht="15" hidden="false" customHeight="false" outlineLevel="0" collapsed="false">
      <c r="A27" s="31" t="s">
        <v>12</v>
      </c>
      <c r="B27" s="30" t="s">
        <v>199</v>
      </c>
      <c r="C27" s="30" t="s">
        <v>200</v>
      </c>
      <c r="D27" s="30" t="s">
        <v>201</v>
      </c>
      <c r="E27" s="30" t="s">
        <v>131</v>
      </c>
    </row>
    <row r="28" customFormat="false" ht="15" hidden="false" customHeight="false" outlineLevel="0" collapsed="false">
      <c r="A28" s="31" t="s">
        <v>12</v>
      </c>
      <c r="B28" s="31" t="s">
        <v>202</v>
      </c>
      <c r="C28" s="30" t="s">
        <v>203</v>
      </c>
      <c r="D28" s="30" t="s">
        <v>204</v>
      </c>
      <c r="E28" s="31" t="s">
        <v>205</v>
      </c>
    </row>
    <row r="29" customFormat="false" ht="15" hidden="false" customHeight="false" outlineLevel="0" collapsed="false">
      <c r="A29" s="39" t="s">
        <v>206</v>
      </c>
      <c r="B29" s="39" t="s">
        <v>207</v>
      </c>
      <c r="C29" s="40" t="s">
        <v>133</v>
      </c>
      <c r="D29" s="40" t="s">
        <v>208</v>
      </c>
      <c r="E29" s="39" t="s">
        <v>209</v>
      </c>
    </row>
    <row r="30" customFormat="false" ht="15" hidden="false" customHeight="false" outlineLevel="0" collapsed="false">
      <c r="A30" s="39" t="s">
        <v>206</v>
      </c>
      <c r="B30" s="39" t="s">
        <v>210</v>
      </c>
      <c r="C30" s="40" t="s">
        <v>211</v>
      </c>
      <c r="D30" s="40" t="s">
        <v>212</v>
      </c>
      <c r="E30" s="39" t="s">
        <v>209</v>
      </c>
    </row>
    <row r="31" customFormat="false" ht="15" hidden="false" customHeight="false" outlineLevel="0" collapsed="false">
      <c r="A31" s="39" t="s">
        <v>206</v>
      </c>
      <c r="B31" s="39" t="s">
        <v>213</v>
      </c>
      <c r="C31" s="40" t="s">
        <v>188</v>
      </c>
      <c r="D31" s="40" t="s">
        <v>24</v>
      </c>
      <c r="E31" s="39" t="s">
        <v>209</v>
      </c>
    </row>
    <row r="32" customFormat="false" ht="15" hidden="false" customHeight="false" outlineLevel="0" collapsed="false">
      <c r="A32" s="39" t="s">
        <v>206</v>
      </c>
      <c r="B32" s="39" t="s">
        <v>128</v>
      </c>
      <c r="C32" s="40" t="s">
        <v>129</v>
      </c>
      <c r="D32" s="40" t="s">
        <v>214</v>
      </c>
      <c r="E32" s="39" t="s">
        <v>215</v>
      </c>
    </row>
    <row r="33" customFormat="false" ht="15" hidden="false" customHeight="false" outlineLevel="0" collapsed="false">
      <c r="A33" s="39" t="s">
        <v>216</v>
      </c>
      <c r="B33" s="39" t="s">
        <v>217</v>
      </c>
      <c r="C33" s="40" t="s">
        <v>218</v>
      </c>
      <c r="D33" s="39" t="s">
        <v>219</v>
      </c>
      <c r="E33" s="39" t="s">
        <v>220</v>
      </c>
    </row>
    <row r="34" customFormat="false" ht="15" hidden="false" customHeight="false" outlineLevel="0" collapsed="false">
      <c r="A34" s="39" t="s">
        <v>216</v>
      </c>
      <c r="B34" s="39" t="s">
        <v>221</v>
      </c>
      <c r="C34" s="39" t="s">
        <v>222</v>
      </c>
      <c r="D34" s="39" t="s">
        <v>223</v>
      </c>
      <c r="E34" s="39" t="s">
        <v>220</v>
      </c>
    </row>
    <row r="35" customFormat="false" ht="15" hidden="false" customHeight="false" outlineLevel="0" collapsed="false">
      <c r="A35" s="39" t="s">
        <v>224</v>
      </c>
      <c r="B35" s="39" t="s">
        <v>225</v>
      </c>
      <c r="C35" s="40" t="s">
        <v>226</v>
      </c>
      <c r="D35" s="39" t="s">
        <v>227</v>
      </c>
      <c r="E35" s="39" t="s">
        <v>131</v>
      </c>
    </row>
    <row r="36" customFormat="false" ht="15" hidden="false" customHeight="false" outlineLevel="0" collapsed="false">
      <c r="A36" s="39" t="s">
        <v>228</v>
      </c>
      <c r="B36" s="39" t="s">
        <v>229</v>
      </c>
      <c r="C36" s="40" t="s">
        <v>182</v>
      </c>
      <c r="D36" s="40" t="s">
        <v>230</v>
      </c>
      <c r="E36" s="39" t="s">
        <v>231</v>
      </c>
    </row>
    <row r="39" customFormat="false" ht="15" hidden="false" customHeight="true" outlineLevel="0" collapsed="false">
      <c r="A39" s="41" t="s">
        <v>232</v>
      </c>
      <c r="B39" s="41"/>
      <c r="C39" s="41"/>
      <c r="D39" s="41"/>
      <c r="E39" s="41"/>
    </row>
    <row r="40" customFormat="false" ht="15" hidden="false" customHeight="false" outlineLevel="0" collapsed="false">
      <c r="A40" s="41"/>
      <c r="B40" s="41"/>
      <c r="C40" s="41"/>
      <c r="D40" s="41"/>
      <c r="E40" s="41"/>
    </row>
    <row r="41" customFormat="false" ht="15" hidden="false" customHeight="false" outlineLevel="0" collapsed="false">
      <c r="A41" s="41"/>
      <c r="B41" s="41"/>
      <c r="C41" s="41"/>
      <c r="D41" s="41"/>
      <c r="E41" s="41"/>
    </row>
  </sheetData>
  <mergeCells count="1">
    <mergeCell ref="A39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233</v>
      </c>
    </row>
    <row r="2" customFormat="false" ht="15" hidden="false" customHeight="false" outlineLevel="0" collapsed="false">
      <c r="A2" s="2" t="s">
        <v>234</v>
      </c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235</v>
      </c>
      <c r="D4" s="3" t="s">
        <v>236</v>
      </c>
      <c r="E4" s="3" t="s">
        <v>237</v>
      </c>
      <c r="F4" s="4" t="s">
        <v>238</v>
      </c>
      <c r="G4" s="3" t="s">
        <v>239</v>
      </c>
      <c r="H4" s="3" t="s">
        <v>240</v>
      </c>
      <c r="I4" s="3" t="s">
        <v>241</v>
      </c>
    </row>
    <row r="5" customFormat="false" ht="15" hidden="false" customHeight="false" outlineLevel="0" collapsed="false">
      <c r="A5" s="12" t="n">
        <f aca="false">'1.케이스별_배분'!A5</f>
        <v>1</v>
      </c>
      <c r="B5" s="12" t="str">
        <f aca="false">'1.케이스별_배분'!B5</f>
        <v>사회초년생 표준형</v>
      </c>
      <c r="C5" s="12" t="str">
        <f aca="false">IF('1.케이스별_배분'!N5='1.케이스별_배분'!F5,"OK","불일치")</f>
        <v>OK</v>
      </c>
      <c r="D5" s="12" t="str">
        <f aca="false">IF('1.케이스별_배분'!I5+'1.케이스별_배분'!J5&lt;=1800,"OK","한도초과")</f>
        <v>OK</v>
      </c>
      <c r="E5" s="12" t="str">
        <f aca="false">IF('1.케이스별_배분'!I5&lt;=1800,"OK","한도초과")</f>
        <v>OK</v>
      </c>
      <c r="F5" s="12" t="str">
        <f aca="false">IF('1.케이스별_배분'!K5&lt;=2000,"OK","한도초과")</f>
        <v>OK</v>
      </c>
      <c r="G5" s="12" t="str">
        <f aca="false">IF('1.케이스별_배분'!O5&lt;=900,"OK","한도초과")</f>
        <v>OK</v>
      </c>
      <c r="H5" s="12" t="str">
        <f aca="false">IF(MIN('1.케이스별_배분'!I5,600)&lt;=600,"OK","한도초과")</f>
        <v>OK</v>
      </c>
      <c r="I5" s="12" t="str">
        <f aca="false">IF(COUNTIF(C5:H5,"OK")=6,"통과","검토 필요")</f>
        <v>통과</v>
      </c>
    </row>
    <row r="6" customFormat="false" ht="15" hidden="false" customHeight="false" outlineLevel="0" collapsed="false">
      <c r="A6" s="12" t="n">
        <f aca="false">'1.케이스별_배분'!A6</f>
        <v>2</v>
      </c>
      <c r="B6" s="12" t="str">
        <f aca="false">'1.케이스별_배분'!B6</f>
        <v>초단기 목돈 (2년)</v>
      </c>
      <c r="C6" s="12" t="str">
        <f aca="false">IF('1.케이스별_배분'!N6='1.케이스별_배분'!F6,"OK","불일치")</f>
        <v>OK</v>
      </c>
      <c r="D6" s="12" t="str">
        <f aca="false">IF('1.케이스별_배분'!I6+'1.케이스별_배분'!J6&lt;=1800,"OK","한도초과")</f>
        <v>OK</v>
      </c>
      <c r="E6" s="12" t="str">
        <f aca="false">IF('1.케이스별_배분'!I6&lt;=1800,"OK","한도초과")</f>
        <v>OK</v>
      </c>
      <c r="F6" s="12" t="str">
        <f aca="false">IF('1.케이스별_배분'!K6&lt;=2000,"OK","한도초과")</f>
        <v>OK</v>
      </c>
      <c r="G6" s="12" t="str">
        <f aca="false">IF('1.케이스별_배분'!O6&lt;=900,"OK","한도초과")</f>
        <v>OK</v>
      </c>
      <c r="H6" s="12" t="str">
        <f aca="false">IF(MIN('1.케이스별_배분'!I6,600)&lt;=600,"OK","한도초과")</f>
        <v>OK</v>
      </c>
      <c r="I6" s="12" t="str">
        <f aca="false">IF(COUNTIF(C6:H6,"OK")=6,"통과","검토 필요")</f>
        <v>통과</v>
      </c>
    </row>
    <row r="7" customFormat="false" ht="15" hidden="false" customHeight="false" outlineLevel="0" collapsed="false">
      <c r="A7" s="12" t="n">
        <f aca="false">'1.케이스별_배분'!A7</f>
        <v>3</v>
      </c>
      <c r="B7" s="12" t="str">
        <f aca="false">'1.케이스별_배분'!B7</f>
        <v>은퇴 임박 러시</v>
      </c>
      <c r="C7" s="12" t="str">
        <f aca="false">IF('1.케이스별_배분'!N7='1.케이스별_배분'!F7,"OK","불일치")</f>
        <v>OK</v>
      </c>
      <c r="D7" s="12" t="str">
        <f aca="false">IF('1.케이스별_배분'!I7+'1.케이스별_배분'!J7&lt;=1800,"OK","한도초과")</f>
        <v>OK</v>
      </c>
      <c r="E7" s="12" t="str">
        <f aca="false">IF('1.케이스별_배분'!I7&lt;=1800,"OK","한도초과")</f>
        <v>OK</v>
      </c>
      <c r="F7" s="12" t="str">
        <f aca="false">IF('1.케이스별_배분'!K7&lt;=2000,"OK","한도초과")</f>
        <v>OK</v>
      </c>
      <c r="G7" s="12" t="str">
        <f aca="false">IF('1.케이스별_배분'!O7&lt;=900,"OK","한도초과")</f>
        <v>OK</v>
      </c>
      <c r="H7" s="12" t="str">
        <f aca="false">IF(MIN('1.케이스별_배분'!I7,600)&lt;=600,"OK","한도초과")</f>
        <v>OK</v>
      </c>
      <c r="I7" s="12" t="str">
        <f aca="false">IF(COUNTIF(C7:H7,"OK")=6,"통과","검토 필요")</f>
        <v>통과</v>
      </c>
    </row>
    <row r="8" customFormat="false" ht="15" hidden="false" customHeight="false" outlineLevel="0" collapsed="false">
      <c r="A8" s="12" t="n">
        <f aca="false">'1.케이스별_배분'!A8</f>
        <v>4</v>
      </c>
      <c r="B8" s="12" t="str">
        <f aca="false">'1.케이스별_배분'!B8</f>
        <v>결정세액 부족</v>
      </c>
      <c r="C8" s="12" t="str">
        <f aca="false">IF('1.케이스별_배분'!N8='1.케이스별_배분'!F8,"OK","불일치")</f>
        <v>OK</v>
      </c>
      <c r="D8" s="12" t="str">
        <f aca="false">IF('1.케이스별_배분'!I8+'1.케이스별_배분'!J8&lt;=1800,"OK","한도초과")</f>
        <v>OK</v>
      </c>
      <c r="E8" s="12" t="str">
        <f aca="false">IF('1.케이스별_배분'!I8&lt;=1800,"OK","한도초과")</f>
        <v>OK</v>
      </c>
      <c r="F8" s="12" t="str">
        <f aca="false">IF('1.케이스별_배분'!K8&lt;=2000,"OK","한도초과")</f>
        <v>OK</v>
      </c>
      <c r="G8" s="12" t="str">
        <f aca="false">IF('1.케이스별_배분'!O8&lt;=900,"OK","한도초과")</f>
        <v>OK</v>
      </c>
      <c r="H8" s="12" t="str">
        <f aca="false">IF(MIN('1.케이스별_배분'!I8,600)&lt;=600,"OK","한도초과")</f>
        <v>OK</v>
      </c>
      <c r="I8" s="12" t="str">
        <f aca="false">IF(COUNTIF(C8:H8,"OK")=6,"통과","검토 필요")</f>
        <v>통과</v>
      </c>
    </row>
    <row r="9" customFormat="false" ht="15" hidden="false" customHeight="false" outlineLevel="0" collapsed="false">
      <c r="A9" s="12" t="n">
        <f aca="false">'1.케이스별_배분'!A9</f>
        <v>5</v>
      </c>
      <c r="B9" s="12" t="str">
        <f aca="false">'1.케이스별_배분'!B9</f>
        <v>이미 사적연금 수령 중</v>
      </c>
      <c r="C9" s="12" t="str">
        <f aca="false">IF('1.케이스별_배분'!N9='1.케이스별_배분'!F9,"OK","불일치")</f>
        <v>OK</v>
      </c>
      <c r="D9" s="12" t="str">
        <f aca="false">IF('1.케이스별_배분'!I9+'1.케이스별_배분'!J9&lt;=1800,"OK","한도초과")</f>
        <v>OK</v>
      </c>
      <c r="E9" s="12" t="str">
        <f aca="false">IF('1.케이스별_배분'!I9&lt;=1800,"OK","한도초과")</f>
        <v>OK</v>
      </c>
      <c r="F9" s="12" t="str">
        <f aca="false">IF('1.케이스별_배분'!K9&lt;=2000,"OK","한도초과")</f>
        <v>OK</v>
      </c>
      <c r="G9" s="12" t="str">
        <f aca="false">IF('1.케이스별_배분'!O9&lt;=900,"OK","한도초과")</f>
        <v>OK</v>
      </c>
      <c r="H9" s="12" t="str">
        <f aca="false">IF(MIN('1.케이스별_배분'!I9,600)&lt;=600,"OK","한도초과")</f>
        <v>OK</v>
      </c>
      <c r="I9" s="12" t="str">
        <f aca="false">IF(COUNTIF(C9:H9,"OK")=6,"통과","검토 필요")</f>
        <v>통과</v>
      </c>
    </row>
    <row r="10" customFormat="false" ht="15" hidden="false" customHeight="false" outlineLevel="0" collapsed="false">
      <c r="A10" s="12" t="n">
        <f aca="false">'1.케이스별_배분'!A10</f>
        <v>6</v>
      </c>
      <c r="B10" s="12" t="str">
        <f aca="false">'1.케이스별_배분'!B10</f>
        <v>ISA 가입 불가</v>
      </c>
      <c r="C10" s="12" t="str">
        <f aca="false">IF('1.케이스별_배분'!N10='1.케이스별_배분'!F10,"OK","불일치")</f>
        <v>OK</v>
      </c>
      <c r="D10" s="12" t="str">
        <f aca="false">IF('1.케이스별_배분'!I10+'1.케이스별_배분'!J10&lt;=1800,"OK","한도초과")</f>
        <v>OK</v>
      </c>
      <c r="E10" s="12" t="str">
        <f aca="false">IF('1.케이스별_배분'!I10&lt;=1800,"OK","한도초과")</f>
        <v>OK</v>
      </c>
      <c r="F10" s="12" t="str">
        <f aca="false">IF('1.케이스별_배분'!K10&lt;=2000,"OK","한도초과")</f>
        <v>OK</v>
      </c>
      <c r="G10" s="12" t="str">
        <f aca="false">IF('1.케이스별_배분'!O10&lt;=900,"OK","한도초과")</f>
        <v>OK</v>
      </c>
      <c r="H10" s="12" t="str">
        <f aca="false">IF(MIN('1.케이스별_배분'!I10,600)&lt;=600,"OK","한도초과")</f>
        <v>OK</v>
      </c>
      <c r="I10" s="12" t="str">
        <f aca="false">IF(COUNTIF(C10:H10,"OK")=6,"통과","검토 필요")</f>
        <v>통과</v>
      </c>
    </row>
    <row r="11" customFormat="false" ht="15" hidden="false" customHeight="false" outlineLevel="0" collapsed="false">
      <c r="A11" s="12" t="n">
        <f aca="false">'1.케이스별_배분'!A11</f>
        <v>7</v>
      </c>
      <c r="B11" s="12" t="str">
        <f aca="false">'1.케이스별_배분'!B11</f>
        <v>소득 없는 배우자</v>
      </c>
      <c r="C11" s="12" t="str">
        <f aca="false">IF('1.케이스별_배분'!N11='1.케이스별_배분'!F11,"OK","불일치")</f>
        <v>OK</v>
      </c>
      <c r="D11" s="12" t="str">
        <f aca="false">IF('1.케이스별_배분'!I11+'1.케이스별_배분'!J11&lt;=1800,"OK","한도초과")</f>
        <v>OK</v>
      </c>
      <c r="E11" s="12" t="str">
        <f aca="false">IF('1.케이스별_배분'!I11&lt;=1800,"OK","한도초과")</f>
        <v>OK</v>
      </c>
      <c r="F11" s="12" t="str">
        <f aca="false">IF('1.케이스별_배분'!K11&lt;=2000,"OK","한도초과")</f>
        <v>OK</v>
      </c>
      <c r="G11" s="12" t="str">
        <f aca="false">IF('1.케이스별_배분'!O11&lt;=900,"OK","한도초과")</f>
        <v>OK</v>
      </c>
      <c r="H11" s="12" t="str">
        <f aca="false">IF(MIN('1.케이스별_배분'!I11,600)&lt;=600,"OK","한도초과")</f>
        <v>OK</v>
      </c>
      <c r="I11" s="12" t="str">
        <f aca="false">IF(COUNTIF(C11:H11,"OK")=6,"통과","검토 필요")</f>
        <v>통과</v>
      </c>
    </row>
    <row r="12" customFormat="false" ht="15" hidden="false" customHeight="false" outlineLevel="0" collapsed="false">
      <c r="A12" s="12" t="n">
        <f aca="false">'1.케이스별_배분'!A12</f>
        <v>8</v>
      </c>
      <c r="B12" s="12" t="str">
        <f aca="false">'1.케이스별_배분'!B12</f>
        <v>프리랜서·자영업</v>
      </c>
      <c r="C12" s="12" t="str">
        <f aca="false">IF('1.케이스별_배분'!N12='1.케이스별_배분'!F12,"OK","불일치")</f>
        <v>OK</v>
      </c>
      <c r="D12" s="12" t="str">
        <f aca="false">IF('1.케이스별_배분'!I12+'1.케이스별_배분'!J12&lt;=1800,"OK","한도초과")</f>
        <v>OK</v>
      </c>
      <c r="E12" s="12" t="str">
        <f aca="false">IF('1.케이스별_배분'!I12&lt;=1800,"OK","한도초과")</f>
        <v>OK</v>
      </c>
      <c r="F12" s="12" t="str">
        <f aca="false">IF('1.케이스별_배분'!K12&lt;=2000,"OK","한도초과")</f>
        <v>OK</v>
      </c>
      <c r="G12" s="12" t="str">
        <f aca="false">IF('1.케이스별_배분'!O12&lt;=900,"OK","한도초과")</f>
        <v>OK</v>
      </c>
      <c r="H12" s="12" t="str">
        <f aca="false">IF(MIN('1.케이스별_배분'!I12,600)&lt;=600,"OK","한도초과")</f>
        <v>OK</v>
      </c>
      <c r="I12" s="12" t="str">
        <f aca="false">IF(COUNTIF(C12:H12,"OK")=6,"통과","검토 필요")</f>
        <v>통과</v>
      </c>
    </row>
    <row r="13" customFormat="false" ht="15" hidden="false" customHeight="false" outlineLevel="0" collapsed="false">
      <c r="A13" s="12" t="n">
        <f aca="false">'1.케이스별_배분'!A13</f>
        <v>9</v>
      </c>
      <c r="B13" s="12" t="str">
        <f aca="false">'1.케이스별_배분'!B13</f>
        <v>무주택 청약 대기</v>
      </c>
      <c r="C13" s="12" t="str">
        <f aca="false">IF('1.케이스별_배분'!N13='1.케이스별_배분'!F13,"OK","불일치")</f>
        <v>OK</v>
      </c>
      <c r="D13" s="12" t="str">
        <f aca="false">IF('1.케이스별_배분'!I13+'1.케이스별_배분'!J13&lt;=1800,"OK","한도초과")</f>
        <v>OK</v>
      </c>
      <c r="E13" s="12" t="str">
        <f aca="false">IF('1.케이스별_배분'!I13&lt;=1800,"OK","한도초과")</f>
        <v>OK</v>
      </c>
      <c r="F13" s="12" t="str">
        <f aca="false">IF('1.케이스별_배분'!K13&lt;=2000,"OK","한도초과")</f>
        <v>OK</v>
      </c>
      <c r="G13" s="12" t="str">
        <f aca="false">IF('1.케이스별_배분'!O13&lt;=900,"OK","한도초과")</f>
        <v>OK</v>
      </c>
      <c r="H13" s="12" t="str">
        <f aca="false">IF(MIN('1.케이스별_배분'!I13,600)&lt;=600,"OK","한도초과")</f>
        <v>OK</v>
      </c>
      <c r="I13" s="12" t="str">
        <f aca="false">IF(COUNTIF(C13:H13,"OK")=6,"통과","검토 필요")</f>
        <v>통과</v>
      </c>
    </row>
    <row r="14" customFormat="false" ht="15" hidden="false" customHeight="false" outlineLevel="0" collapsed="false">
      <c r="A14" s="12" t="n">
        <f aca="false">'1.케이스별_배분'!A14</f>
        <v>10</v>
      </c>
      <c r="B14" s="12" t="str">
        <f aca="false">'1.케이스별_배분'!B14</f>
        <v>해외주식 직접투자</v>
      </c>
      <c r="C14" s="12" t="str">
        <f aca="false">IF('1.케이스별_배분'!N14='1.케이스별_배분'!F14,"OK","불일치")</f>
        <v>OK</v>
      </c>
      <c r="D14" s="12" t="str">
        <f aca="false">IF('1.케이스별_배분'!I14+'1.케이스별_배분'!J14&lt;=1800,"OK","한도초과")</f>
        <v>OK</v>
      </c>
      <c r="E14" s="12" t="str">
        <f aca="false">IF('1.케이스별_배분'!I14&lt;=1800,"OK","한도초과")</f>
        <v>OK</v>
      </c>
      <c r="F14" s="12" t="str">
        <f aca="false">IF('1.케이스별_배분'!K14&lt;=2000,"OK","한도초과")</f>
        <v>OK</v>
      </c>
      <c r="G14" s="12" t="str">
        <f aca="false">IF('1.케이스별_배분'!O14&lt;=900,"OK","한도초과")</f>
        <v>OK</v>
      </c>
      <c r="H14" s="12" t="str">
        <f aca="false">IF(MIN('1.케이스별_배분'!I14,600)&lt;=600,"OK","한도초과")</f>
        <v>OK</v>
      </c>
      <c r="I14" s="12" t="str">
        <f aca="false">IF(COUNTIF(C14:H14,"OK")=6,"통과","검토 필요")</f>
        <v>통과</v>
      </c>
    </row>
    <row r="15" customFormat="false" ht="15" hidden="false" customHeight="false" outlineLevel="0" collapsed="false">
      <c r="A15" s="12" t="n">
        <f aca="false">'1.케이스별_배분'!A15</f>
        <v>11</v>
      </c>
      <c r="B15" s="12" t="str">
        <f aca="false">'1.케이스별_배분'!B15</f>
        <v>미성년 자녀 명의</v>
      </c>
      <c r="C15" s="12" t="str">
        <f aca="false">IF('1.케이스별_배분'!N15='1.케이스별_배분'!F15,"OK","불일치")</f>
        <v>OK</v>
      </c>
      <c r="D15" s="12" t="str">
        <f aca="false">IF('1.케이스별_배분'!I15+'1.케이스별_배분'!J15&lt;=1800,"OK","한도초과")</f>
        <v>OK</v>
      </c>
      <c r="E15" s="12" t="str">
        <f aca="false">IF('1.케이스별_배분'!I15&lt;=1800,"OK","한도초과")</f>
        <v>OK</v>
      </c>
      <c r="F15" s="12" t="str">
        <f aca="false">IF('1.케이스별_배분'!K15&lt;=2000,"OK","한도초과")</f>
        <v>OK</v>
      </c>
      <c r="G15" s="12" t="str">
        <f aca="false">IF('1.케이스별_배분'!O15&lt;=900,"OK","한도초과")</f>
        <v>OK</v>
      </c>
      <c r="H15" s="12" t="str">
        <f aca="false">IF(MIN('1.케이스별_배분'!I15,600)&lt;=600,"OK","한도초과")</f>
        <v>OK</v>
      </c>
      <c r="I15" s="12" t="str">
        <f aca="false">IF(COUNTIF(C15:H15,"OK")=6,"통과","검토 필요")</f>
        <v>통과</v>
      </c>
    </row>
    <row r="16" customFormat="false" ht="15" hidden="false" customHeight="false" outlineLevel="0" collapsed="false">
      <c r="A16" s="12" t="n">
        <f aca="false">'1.케이스별_배분'!A16</f>
        <v>12</v>
      </c>
      <c r="B16" s="12" t="str">
        <f aca="false">'1.케이스별_배분'!B16</f>
        <v>공제율 경계선</v>
      </c>
      <c r="C16" s="12" t="str">
        <f aca="false">IF('1.케이스별_배분'!N16='1.케이스별_배분'!F16,"OK","불일치")</f>
        <v>OK</v>
      </c>
      <c r="D16" s="12" t="str">
        <f aca="false">IF('1.케이스별_배분'!I16+'1.케이스별_배분'!J16&lt;=1800,"OK","한도초과")</f>
        <v>OK</v>
      </c>
      <c r="E16" s="12" t="str">
        <f aca="false">IF('1.케이스별_배분'!I16&lt;=1800,"OK","한도초과")</f>
        <v>OK</v>
      </c>
      <c r="F16" s="12" t="str">
        <f aca="false">IF('1.케이스별_배분'!K16&lt;=2000,"OK","한도초과")</f>
        <v>OK</v>
      </c>
      <c r="G16" s="12" t="str">
        <f aca="false">IF('1.케이스별_배분'!O16&lt;=900,"OK","한도초과")</f>
        <v>OK</v>
      </c>
      <c r="H16" s="12" t="str">
        <f aca="false">IF(MIN('1.케이스별_배분'!I16,600)&lt;=600,"OK","한도초과")</f>
        <v>OK</v>
      </c>
      <c r="I16" s="12" t="str">
        <f aca="false">IF(COUNTIF(C16:H16,"OK")=6,"통과","검토 필요")</f>
        <v>통과</v>
      </c>
    </row>
    <row r="17" customFormat="false" ht="15" hidden="false" customHeight="false" outlineLevel="0" collapsed="false">
      <c r="A17" s="12" t="n">
        <f aca="false">'1.케이스별_배분'!A17</f>
        <v>13</v>
      </c>
      <c r="B17" s="12" t="str">
        <f aca="false">'1.케이스별_배분'!B17</f>
        <v>육아휴직 연도</v>
      </c>
      <c r="C17" s="12" t="str">
        <f aca="false">IF('1.케이스별_배분'!N17='1.케이스별_배분'!F17,"OK","불일치")</f>
        <v>OK</v>
      </c>
      <c r="D17" s="12" t="str">
        <f aca="false">IF('1.케이스별_배분'!I17+'1.케이스별_배분'!J17&lt;=1800,"OK","한도초과")</f>
        <v>OK</v>
      </c>
      <c r="E17" s="12" t="str">
        <f aca="false">IF('1.케이스별_배분'!I17&lt;=1800,"OK","한도초과")</f>
        <v>OK</v>
      </c>
      <c r="F17" s="12" t="str">
        <f aca="false">IF('1.케이스별_배분'!K17&lt;=2000,"OK","한도초과")</f>
        <v>OK</v>
      </c>
      <c r="G17" s="12" t="str">
        <f aca="false">IF('1.케이스별_배분'!O17&lt;=900,"OK","한도초과")</f>
        <v>OK</v>
      </c>
      <c r="H17" s="12" t="str">
        <f aca="false">IF(MIN('1.케이스별_배분'!I17,600)&lt;=600,"OK","한도초과")</f>
        <v>OK</v>
      </c>
      <c r="I17" s="12" t="str">
        <f aca="false">IF(COUNTIF(C17:H17,"OK")=6,"통과","검토 필요")</f>
        <v>통과</v>
      </c>
    </row>
    <row r="18" customFormat="false" ht="15" hidden="false" customHeight="false" outlineLevel="0" collapsed="false">
      <c r="A18" s="12" t="n">
        <f aca="false">'1.케이스별_배분'!A18</f>
        <v>14</v>
      </c>
      <c r="B18" s="12" t="str">
        <f aca="false">'1.케이스별_배분'!B18</f>
        <v>퇴직금 수령 예정</v>
      </c>
      <c r="C18" s="12" t="str">
        <f aca="false">IF('1.케이스별_배분'!N18='1.케이스별_배분'!F18,"OK","불일치")</f>
        <v>OK</v>
      </c>
      <c r="D18" s="12" t="str">
        <f aca="false">IF('1.케이스별_배분'!I18+'1.케이스별_배분'!J18&lt;=1800,"OK","한도초과")</f>
        <v>OK</v>
      </c>
      <c r="E18" s="12" t="str">
        <f aca="false">IF('1.케이스별_배분'!I18&lt;=1800,"OK","한도초과")</f>
        <v>OK</v>
      </c>
      <c r="F18" s="12" t="str">
        <f aca="false">IF('1.케이스별_배분'!K18&lt;=2000,"OK","한도초과")</f>
        <v>OK</v>
      </c>
      <c r="G18" s="12" t="str">
        <f aca="false">IF('1.케이스별_배분'!O18&lt;=900,"OK","한도초과")</f>
        <v>OK</v>
      </c>
      <c r="H18" s="12" t="str">
        <f aca="false">IF(MIN('1.케이스별_배분'!I18,600)&lt;=600,"OK","한도초과")</f>
        <v>OK</v>
      </c>
      <c r="I18" s="12" t="str">
        <f aca="false">IF(COUNTIF(C18:H18,"OK")=6,"통과","검토 필요")</f>
        <v>통과</v>
      </c>
    </row>
    <row r="20" customFormat="false" ht="15" hidden="false" customHeight="false" outlineLevel="0" collapsed="false">
      <c r="B20" s="42" t="s">
        <v>242</v>
      </c>
      <c r="I20" s="43" t="str">
        <f aca="false">IF(COUNTIF(I5:I18,"통과")=14,"전체 통과","오류 있음")</f>
        <v>전체 통과</v>
      </c>
    </row>
    <row r="23" customFormat="false" ht="17.15" hidden="false" customHeight="false" outlineLevel="0" collapsed="false">
      <c r="A23" s="44" t="s">
        <v>243</v>
      </c>
    </row>
    <row r="24" customFormat="false" ht="15" hidden="false" customHeight="false" outlineLevel="0" collapsed="false">
      <c r="A24" s="45" t="s">
        <v>244</v>
      </c>
      <c r="B24" s="45" t="s">
        <v>245</v>
      </c>
      <c r="C24" s="45" t="s">
        <v>246</v>
      </c>
      <c r="D24" s="45"/>
      <c r="E24" s="45"/>
      <c r="F24" s="45"/>
      <c r="G24" s="45"/>
      <c r="H24" s="45"/>
      <c r="I24" s="45"/>
    </row>
    <row r="25" customFormat="false" ht="45.75" hidden="false" customHeight="true" outlineLevel="0" collapsed="false">
      <c r="A25" s="27" t="s">
        <v>247</v>
      </c>
      <c r="B25" s="27" t="s">
        <v>248</v>
      </c>
      <c r="C25" s="27" t="s">
        <v>249</v>
      </c>
      <c r="D25" s="27"/>
      <c r="E25" s="27"/>
      <c r="F25" s="27"/>
      <c r="G25" s="27"/>
      <c r="H25" s="27"/>
      <c r="I25" s="27"/>
    </row>
    <row r="26" customFormat="false" ht="45.75" hidden="false" customHeight="true" outlineLevel="0" collapsed="false">
      <c r="A26" s="27" t="s">
        <v>250</v>
      </c>
      <c r="B26" s="27" t="s">
        <v>251</v>
      </c>
      <c r="C26" s="28" t="s">
        <v>252</v>
      </c>
      <c r="D26" s="28"/>
      <c r="E26" s="28"/>
      <c r="F26" s="28"/>
      <c r="G26" s="28"/>
      <c r="H26" s="28"/>
      <c r="I26" s="28"/>
    </row>
    <row r="27" customFormat="false" ht="45.75" hidden="false" customHeight="true" outlineLevel="0" collapsed="false">
      <c r="A27" s="27" t="s">
        <v>253</v>
      </c>
      <c r="B27" s="27" t="s">
        <v>254</v>
      </c>
      <c r="C27" s="27" t="s">
        <v>255</v>
      </c>
      <c r="D27" s="27"/>
      <c r="E27" s="27"/>
      <c r="F27" s="27"/>
      <c r="G27" s="27"/>
      <c r="H27" s="27"/>
      <c r="I27" s="27"/>
    </row>
    <row r="28" customFormat="false" ht="45.75" hidden="false" customHeight="true" outlineLevel="0" collapsed="false">
      <c r="A28" s="27" t="s">
        <v>256</v>
      </c>
      <c r="B28" s="28" t="s">
        <v>257</v>
      </c>
      <c r="C28" s="27" t="s">
        <v>258</v>
      </c>
      <c r="D28" s="27"/>
      <c r="E28" s="27"/>
      <c r="F28" s="27"/>
      <c r="G28" s="27"/>
      <c r="H28" s="27"/>
      <c r="I28" s="27"/>
    </row>
    <row r="29" customFormat="false" ht="45.75" hidden="false" customHeight="true" outlineLevel="0" collapsed="false">
      <c r="A29" s="27" t="s">
        <v>259</v>
      </c>
      <c r="B29" s="27" t="s">
        <v>260</v>
      </c>
      <c r="C29" s="28" t="s">
        <v>261</v>
      </c>
      <c r="D29" s="28"/>
      <c r="E29" s="28"/>
      <c r="F29" s="28"/>
      <c r="G29" s="28"/>
      <c r="H29" s="28"/>
      <c r="I29" s="28"/>
    </row>
  </sheetData>
  <mergeCells count="6">
    <mergeCell ref="C24:I24"/>
    <mergeCell ref="C25:I25"/>
    <mergeCell ref="C26:I26"/>
    <mergeCell ref="C27:I27"/>
    <mergeCell ref="C28:I28"/>
    <mergeCell ref="C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2026-08-10T02:26:20Z</dcterms:created>
  <dc:creator>openpyxl</dc:creator>
  <dc:description/>
  <dc:language>en-US</dc:language>
  <cp:lastModifiedBy/>
  <dcterms:modified xsi:type="dcterms:W3CDTF">2026-08-10T02:26:20Z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